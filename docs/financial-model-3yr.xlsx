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weat Equity" sheetId="2" state="visible" r:id="rId2"/>
    <sheet name="Inputs" sheetId="3" state="visible" r:id="rId3"/>
    <sheet name="S" sheetId="4" state="visible" r:id="rId4"/>
    <sheet name="M" sheetId="5" state="visible" r:id="rId5"/>
    <sheet name="L" sheetId="6" state="visible" r:id="rId6"/>
    <sheet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$#,##0;($#,##0);-"/>
    <numFmt numFmtId="165" formatCode="0.0%"/>
    <numFmt numFmtId="166" formatCode="$0.00"/>
    <numFmt numFmtId="167" formatCode="$0.000"/>
    <numFmt numFmtId="168" formatCode="$0.0000"/>
    <numFmt numFmtId="169" formatCode="$#,##0.00;($#,##0.00);-"/>
  </numFmts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sz val="10"/>
    </font>
    <font>
      <name val="Arial"/>
      <color rgb="000000FF"/>
      <sz val="10"/>
    </font>
    <font>
      <name val="Arial"/>
      <color rgb="00008000"/>
      <sz val="10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3" fillId="0" borderId="0" pivotButton="0" quotePrefix="0" xfId="0"/>
    <xf numFmtId="0" fontId="3" fillId="2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pivotButton="0" quotePrefix="0" xfId="0"/>
    <xf numFmtId="3" fontId="3" fillId="0" borderId="0" pivotButton="0" quotePrefix="0" xfId="0"/>
    <xf numFmtId="3" fontId="4" fillId="0" borderId="0" pivotButton="0" quotePrefix="0" xfId="0"/>
    <xf numFmtId="3" fontId="3" fillId="3" borderId="0" pivotButton="0" quotePrefix="0" xfId="0"/>
    <xf numFmtId="164" fontId="4" fillId="3" borderId="0" pivotButton="0" quotePrefix="0" xfId="0"/>
    <xf numFmtId="164" fontId="3" fillId="0" borderId="0" pivotButton="0" quotePrefix="0" xfId="0"/>
    <xf numFmtId="164" fontId="2" fillId="0" borderId="0" pivotButton="0" quotePrefix="0" xfId="0"/>
    <xf numFmtId="165" fontId="4" fillId="3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4" fontId="4" fillId="0" borderId="0" pivotButton="0" quotePrefix="0" xfId="0"/>
    <xf numFmtId="3" fontId="4" fillId="3" borderId="0" pivotButton="0" quotePrefix="0" xfId="0"/>
    <xf numFmtId="167" fontId="4" fillId="0" borderId="0" pivotButton="0" quotePrefix="0" xfId="0"/>
    <xf numFmtId="168" fontId="4" fillId="0" borderId="0" pivotButton="0" quotePrefix="0" xfId="0"/>
    <xf numFmtId="2" fontId="4" fillId="0" borderId="0" pivotButton="0" quotePrefix="0" xfId="0"/>
    <xf numFmtId="0" fontId="1" fillId="0" borderId="0" pivotButton="0" quotePrefix="0" xfId="0"/>
    <xf numFmtId="164" fontId="5" fillId="0" borderId="0" pivotButton="0" quotePrefix="0" xfId="0"/>
    <xf numFmtId="169" fontId="2" fillId="0" borderId="0" pivotButton="0" quotePrefix="0" xfId="0"/>
    <xf numFmtId="3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creatives.exchange — 3-year budget model (S / M / L scenarios)</t>
        </is>
      </c>
    </row>
    <row r="2">
      <c r="A2" s="2" t="inlineStr">
        <is>
          <t>Built 2026-08-28. Prices verified against official pricing pages 2026-08-28 (LiveKit numbers re-checked 2026-08-13 in docs/phase-1b/video-provider-research.md).</t>
        </is>
      </c>
    </row>
    <row r="3">
      <c r="A3" s="2" t="inlineStr"/>
    </row>
    <row r="4">
      <c r="A4" s="3" t="inlineStr">
        <is>
          <t>HOW TO USE</t>
        </is>
      </c>
    </row>
    <row r="5">
      <c r="A5" s="2" t="inlineStr">
        <is>
          <t>Blue cells are inputs — change them and everything recalculates. Yellow cells are the assumptions that most change the answer.</t>
        </is>
      </c>
    </row>
    <row r="6">
      <c r="A6" s="2" t="inlineStr">
        <is>
          <t>Green cells pull from the Inputs sheet. Black cells are formulas — don't type over them.</t>
        </is>
      </c>
    </row>
    <row r="7">
      <c r="A7" s="2" t="inlineStr">
        <is>
          <t>Sheets: Sweat Equity (time already invested) · Inputs (unit prices) · S, M, L (scenarios) · Summary (side by side).</t>
        </is>
      </c>
    </row>
    <row r="8">
      <c r="A8" s="2" t="inlineStr"/>
    </row>
    <row r="9">
      <c r="A9" s="3" t="inlineStr">
        <is>
          <t>THE THREE THINGS THIS MODEL SHOWS</t>
        </is>
      </c>
    </row>
    <row r="10">
      <c r="A10" s="2" t="inlineStr">
        <is>
          <t>1. Card fees eat roughly half of a 10% take when dues are billed $10 monthly (Stripe's 30¢ fixed fee is 3% of a $10 charge).</t>
        </is>
      </c>
    </row>
    <row r="11">
      <c r="A11" s="2" t="inlineStr">
        <is>
          <t xml:space="preserve">   The 'Platform absorbs processing' toggle on Inputs decides whether the business ever breaks even. Annual billing also roughly halves dues processing.</t>
        </is>
      </c>
    </row>
    <row r="12">
      <c r="A12" s="2" t="inlineStr">
        <is>
          <t>2. Year 1 is grant- and patron-funded in every scenario. Revenue does not cover even part-time staff until Year 2–3 at Medium scale.</t>
        </is>
      </c>
    </row>
    <row r="13">
      <c r="A13" s="2" t="inlineStr">
        <is>
          <t xml:space="preserve">   That is the argument for the Belmont/Lilly letter of inquiry and for patron capital — not a flaw in the plan, but it must be said out loud.</t>
        </is>
      </c>
    </row>
    <row r="14">
      <c r="A14" s="2" t="inlineStr">
        <is>
          <t>3. ~220 hours (~$38.5k at $175/hr) is already invested in the app. See Sweat Equity.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4" customWidth="1" min="4" max="4"/>
    <col width="30" customWidth="1" min="5" max="5"/>
  </cols>
  <sheetData>
    <row r="1">
      <c r="A1" s="4" t="inlineStr">
        <is>
          <t>Founder time invested to date (from git history, all branches: 456 commits, 26 active days, Jan 24 – Sep 2 2026)</t>
        </is>
      </c>
    </row>
    <row r="3">
      <c r="A3" s="5" t="inlineStr">
        <is>
          <t>Phase</t>
        </is>
      </c>
      <c r="B3" s="5" t="inlineStr">
        <is>
          <t>Active days</t>
        </is>
      </c>
      <c r="C3" s="5" t="inlineStr">
        <is>
          <t>Est hrs/day</t>
        </is>
      </c>
      <c r="D3" s="5" t="inlineStr">
        <is>
          <t>Hours</t>
        </is>
      </c>
      <c r="E3" s="5" t="inlineStr">
        <is>
          <t>Note</t>
        </is>
      </c>
    </row>
    <row r="4">
      <c r="A4" s="6" t="inlineStr">
        <is>
          <t>Jan 24–31 build sprint (original app)</t>
        </is>
      </c>
      <c r="B4" s="7" t="n">
        <v>7</v>
      </c>
      <c r="C4" s="8" t="n">
        <v>8.5</v>
      </c>
      <c r="D4" s="7">
        <f>B4*C4</f>
        <v>59.5</v>
      </c>
      <c r="E4" s="6" t="inlineStr">
        <is>
          <t>Committed 265 times</t>
        </is>
      </c>
    </row>
    <row r="5">
      <c r="A5" s="6" t="inlineStr">
        <is>
          <t>Feb–Jun maintenance (scattered days)</t>
        </is>
      </c>
      <c r="B5" s="7" t="n">
        <v>7</v>
      </c>
      <c r="C5" s="8" t="n">
        <v>3</v>
      </c>
      <c r="D5" s="7">
        <f>B5*C5</f>
        <v>21</v>
      </c>
      <c r="E5" s="6" t="inlineStr">
        <is>
          <t>41 commits</t>
        </is>
      </c>
    </row>
    <row r="6">
      <c r="A6" s="6" t="inlineStr">
        <is>
          <t>Aug 6 – Sep 2 sprint (Garden → creatives.exchange)</t>
        </is>
      </c>
      <c r="B6" s="7" t="n">
        <v>12</v>
      </c>
      <c r="C6" s="8" t="n">
        <v>7</v>
      </c>
      <c r="D6" s="7">
        <f>B6*C6</f>
        <v>84</v>
      </c>
      <c r="E6" s="6" t="inlineStr">
        <is>
          <t>150 commits</t>
        </is>
      </c>
    </row>
    <row r="7">
      <c r="A7" s="4" t="inlineStr">
        <is>
          <t>Hands-on subtotal</t>
        </is>
      </c>
      <c r="D7" s="9">
        <f>SUM(D4:D6)</f>
        <v>164.5</v>
      </c>
    </row>
    <row r="8">
      <c r="A8" s="6" t="inlineStr">
        <is>
          <t>Partner calls + prep (8+ recorded calls, Upsight)</t>
        </is>
      </c>
      <c r="D8" s="10" t="n">
        <v>12</v>
      </c>
    </row>
    <row r="9">
      <c r="A9" s="6" t="inlineStr">
        <is>
          <t>Planning, specs, design, directing build sessions (not in commits)</t>
        </is>
      </c>
      <c r="D9" s="10" t="n">
        <v>45</v>
      </c>
    </row>
    <row r="10">
      <c r="A10" s="4" t="inlineStr">
        <is>
          <t>TOTAL HOURS</t>
        </is>
      </c>
      <c r="D10" s="11">
        <f>D7+D8+D9</f>
        <v>221.5</v>
      </c>
    </row>
    <row r="12">
      <c r="A12" s="6" t="inlineStr">
        <is>
          <t>Hourly rate to value the time</t>
        </is>
      </c>
      <c r="B12" s="12" t="n">
        <v>175</v>
      </c>
      <c r="E12" s="6" t="inlineStr">
        <is>
          <t>Fractional senior product-engineer rate; user-set assumption</t>
        </is>
      </c>
    </row>
    <row r="13">
      <c r="A13" s="4" t="inlineStr">
        <is>
          <t>Value of time invested</t>
        </is>
      </c>
      <c r="B13" s="13">
        <f>D10*B12</f>
        <v>38762.5</v>
      </c>
    </row>
    <row r="15">
      <c r="A15" s="6" t="inlineStr">
        <is>
          <t>Sensitivity: at $125/hr</t>
        </is>
      </c>
      <c r="B15" s="14">
        <f>D10*125</f>
        <v>27687.5</v>
      </c>
    </row>
    <row r="16">
      <c r="A16" s="6" t="inlineStr">
        <is>
          <t>Sensitivity: at $225/hr</t>
        </is>
      </c>
      <c r="B16" s="14">
        <f>D10*225</f>
        <v>49837.5</v>
      </c>
    </row>
    <row r="18">
      <c r="A18" s="6" t="inlineStr">
        <is>
          <t>Method: hours/day are estimates (blue — adjust them); commit counts and active days are measured facts from git.</t>
        </is>
      </c>
    </row>
    <row r="20">
      <c r="A20" s="4" t="inlineStr">
        <is>
          <t>BEFORE 2026 — two earlier versions across ~10 years. Rows below are placeholder guesses: EDIT B and C to your memory.</t>
        </is>
      </c>
    </row>
    <row r="21">
      <c r="A21" t="inlineStr">
        <is>
          <t>Era</t>
        </is>
      </c>
      <c r="B21" t="inlineStr">
        <is>
          <t>Years active</t>
        </is>
      </c>
      <c r="C21" t="inlineStr">
        <is>
          <t>Avg hrs/week</t>
        </is>
      </c>
      <c r="D21" t="inlineStr">
        <is>
          <t>Hours</t>
        </is>
      </c>
      <c r="E21" t="inlineStr">
        <is>
          <t>Note</t>
        </is>
      </c>
    </row>
    <row r="22">
      <c r="A22" t="inlineStr">
        <is>
          <t>Version 1 — first build (name/dates: edit)</t>
        </is>
      </c>
      <c r="B22">
        <v>3</v>
      </c>
      <c r="C22">
        <v>3</v>
      </c>
      <c r="D22">
        <f>B22*C22*52</f>
        <v>468</v>
      </c>
      <c r="E22" t="inlineStr">
        <is>
          <t>guess — edit</t>
        </is>
      </c>
    </row>
    <row r="23">
      <c r="A23" t="inlineStr">
        <is>
          <t>Version 2 — second build (name/dates: edit)</t>
        </is>
      </c>
      <c r="B23">
        <v>2</v>
      </c>
      <c r="C23">
        <v>4</v>
      </c>
      <c r="D23">
        <f>B23*C23*52</f>
        <v>416</v>
      </c>
      <c r="E23" t="inlineStr">
        <is>
          <t>guess — edit</t>
        </is>
      </c>
    </row>
    <row r="24">
      <c r="A24" t="inlineStr">
        <is>
          <t>Prior hours subtotal</t>
        </is>
      </c>
      <c r="D24">
        <f>SUM(D22:D23)</f>
        <v>884</v>
      </c>
    </row>
    <row r="25">
      <c r="A25" t="inlineStr">
        <is>
          <t>Rate for prior work, $/hr</t>
        </is>
      </c>
      <c r="B25">
        <v>175</v>
      </c>
      <c r="E25" t="inlineStr">
        <is>
          <t>same market rate as current work</t>
        </is>
      </c>
    </row>
    <row r="26">
      <c r="A26" t="inlineStr">
        <is>
          <t>Carry-forward factor</t>
        </is>
      </c>
      <c r="B26">
        <v>0.35</v>
      </c>
      <c r="E26" t="inlineStr">
        <is>
          <t>share of the old work still serving today: brand, audience, content, lessons. Edit 0–1</t>
        </is>
      </c>
    </row>
    <row r="27">
      <c r="A27" t="inlineStr">
        <is>
          <t>Prior versions value</t>
        </is>
      </c>
      <c r="B27">
        <f>D24*B25*B26</f>
        <v>54145</v>
      </c>
    </row>
    <row r="28">
      <c r="A28" s="4" t="inlineStr">
        <is>
          <t>GRAND TOTAL sweat equity (2026 work + prior carry-forward)</t>
        </is>
      </c>
      <c r="B28">
        <f>B13+B27</f>
        <v>92907.5</v>
      </c>
    </row>
    <row r="29">
      <c r="A29" t="inlineStr">
        <is>
          <t>Second lens: replacement cost — what an agency would charge to rebuild what existed Jan 1, 2026 (a comparable community app: $50k–150k). In investor talk, use whichever lens is higher and name the method.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66" customWidth="1" min="3" max="3"/>
  </cols>
  <sheetData>
    <row r="1">
      <c r="A1" s="4" t="inlineStr">
        <is>
          <t>Shared unit prices &amp; policy toggles (all verified 2026-08-28 unless noted)</t>
        </is>
      </c>
    </row>
    <row r="3">
      <c r="A3" s="6" t="inlineStr">
        <is>
          <t>Dues, $/member/month</t>
        </is>
      </c>
      <c r="B3" s="12" t="n">
        <v>10</v>
      </c>
      <c r="C3" s="6" t="inlineStr">
        <is>
          <t>Product decision (seat = platform membership)</t>
        </is>
      </c>
    </row>
    <row r="4">
      <c r="A4" s="6" t="inlineStr">
        <is>
          <t>Platform take on money moved</t>
        </is>
      </c>
      <c r="B4" s="15" t="n">
        <v>0.1</v>
      </c>
      <c r="C4" s="6" t="inlineStr">
        <is>
          <t>Product decision — we earn 10% of money in motion</t>
        </is>
      </c>
    </row>
    <row r="5">
      <c r="A5" s="6" t="inlineStr">
        <is>
          <t>Card fee — percent</t>
        </is>
      </c>
      <c r="B5" s="16" t="n">
        <v>0.029</v>
      </c>
      <c r="C5" s="6" t="inlineStr">
        <is>
          <t>stripe.com/pricing (2.9% + 30¢)</t>
        </is>
      </c>
    </row>
    <row r="6">
      <c r="A6" s="6" t="inlineStr">
        <is>
          <t>Card fee — fixed $/transaction</t>
        </is>
      </c>
      <c r="B6" s="17" t="n">
        <v>0.3</v>
      </c>
      <c r="C6" s="6" t="inlineStr">
        <is>
          <t>stripe.com/pricing</t>
        </is>
      </c>
    </row>
    <row r="7">
      <c r="A7" s="6" t="inlineStr">
        <is>
          <t>Stripe Billing fee (subscriptions)</t>
        </is>
      </c>
      <c r="B7" s="16" t="n">
        <v>0.007</v>
      </c>
      <c r="C7" s="6" t="inlineStr">
        <is>
          <t>stripe.com/billing/pricing (0.7% of billing volume)</t>
        </is>
      </c>
    </row>
    <row r="8">
      <c r="A8" s="6" t="inlineStr">
        <is>
          <t>Avg non-dues transaction, $</t>
        </is>
      </c>
      <c r="B8" s="18" t="n">
        <v>75</v>
      </c>
      <c r="C8" s="6" t="inlineStr">
        <is>
          <t>Assumption: typical project backing / class fee</t>
        </is>
      </c>
    </row>
    <row r="9">
      <c r="A9" s="6" t="inlineStr">
        <is>
          <t>Platform absorbs processing? (1=yes, 0=passed to payer)</t>
        </is>
      </c>
      <c r="B9" s="19" t="n">
        <v>0</v>
      </c>
      <c r="C9" s="6" t="inlineStr">
        <is>
          <t>DECIDED 2026-09-08: payer covers processing at checkout</t>
        </is>
      </c>
    </row>
    <row r="10">
      <c r="A10" s="6" t="inlineStr">
        <is>
          <t>Emails per member per month</t>
        </is>
      </c>
      <c r="B10" s="10" t="n">
        <v>10</v>
      </c>
      <c r="C10" s="6" t="inlineStr">
        <is>
          <t>Assumption: digests + event/RSVP + community posts</t>
        </is>
      </c>
    </row>
    <row r="11">
      <c r="A11" s="6" t="inlineStr">
        <is>
          <t>Email cost per 1,000 sent</t>
        </is>
      </c>
      <c r="B11" s="20" t="n">
        <v>0.7</v>
      </c>
      <c r="C11" s="6" t="inlineStr">
        <is>
          <t>resend.com/pricing ($35/mo covers 100k; SES is $0.10/1k if we switch)</t>
        </is>
      </c>
    </row>
    <row r="12">
      <c r="A12" s="6" t="inlineStr">
        <is>
          <t>SMS verifications per signup/yr</t>
        </is>
      </c>
      <c r="B12" s="10" t="n">
        <v>3</v>
      </c>
      <c r="C12" s="6" t="inlineStr">
        <is>
          <t>Assumption: signup + periodic re-auth (Twilio Verify)</t>
        </is>
      </c>
    </row>
    <row r="13">
      <c r="A13" s="6" t="inlineStr">
        <is>
          <t>Cost per SMS verification</t>
        </is>
      </c>
      <c r="B13" s="21" t="n">
        <v>0.0583</v>
      </c>
      <c r="C13" s="6" t="inlineStr">
        <is>
          <t>twilio.com/en-us/verify/pricing ($0.05 + $0.0083/segment, US)</t>
        </is>
      </c>
    </row>
    <row r="14">
      <c r="A14" s="6" t="inlineStr">
        <is>
          <t>Convex — developer seats</t>
        </is>
      </c>
      <c r="B14" s="10" t="n">
        <v>1</v>
      </c>
      <c r="C14" s="6" t="inlineStr">
        <is>
          <t>convex.dev/pricing ($25/dev/mo Professional)</t>
        </is>
      </c>
    </row>
    <row r="15">
      <c r="A15" s="6" t="inlineStr">
        <is>
          <t>Convex — $/dev/month</t>
        </is>
      </c>
      <c r="B15" s="18" t="n">
        <v>25</v>
      </c>
      <c r="C15" s="6" t="inlineStr">
        <is>
          <t>convex.dev/pricing</t>
        </is>
      </c>
    </row>
    <row r="16">
      <c r="A16" s="6" t="inlineStr">
        <is>
          <t>Convex — usage buffer $/yr</t>
        </is>
      </c>
      <c r="B16" s="18" t="n">
        <v>300</v>
      </c>
      <c r="C16" s="6" t="inlineStr">
        <is>
          <t>Overages: storage/egress beyond Pro allowances (estimate)</t>
        </is>
      </c>
    </row>
    <row r="17">
      <c r="A17" s="6" t="inlineStr">
        <is>
          <t>Cloudflare + domains + misc tools, $/month</t>
        </is>
      </c>
      <c r="B17" s="18" t="n">
        <v>30</v>
      </c>
      <c r="C17" s="6" t="inlineStr">
        <is>
          <t>Workers $5 + R2 cents + domains/tools (developers.cloudflare.com)</t>
        </is>
      </c>
    </row>
    <row r="18">
      <c r="A18" s="6" t="inlineStr">
        <is>
          <t>Part-time community mgr, $/hour</t>
        </is>
      </c>
      <c r="B18" s="17" t="n">
        <v>28.34</v>
      </c>
      <c r="C18" s="6" t="inlineStr">
        <is>
          <t>ziprecruiter.com avg, part-time community manager (Dec 2025)</t>
        </is>
      </c>
    </row>
    <row r="19">
      <c r="A19" s="6" t="inlineStr">
        <is>
          <t>Full-time community mgr salary, $/yr</t>
        </is>
      </c>
      <c r="B19" s="12" t="n">
        <v>66000</v>
      </c>
      <c r="C19" s="6" t="inlineStr">
        <is>
          <t>Glassdoor $66.7k / Indeed $65.6k avg (mid-2026)</t>
        </is>
      </c>
    </row>
    <row r="20">
      <c r="A20" s="6" t="inlineStr">
        <is>
          <t>Benefits + payroll load on FT salary</t>
        </is>
      </c>
      <c r="B20" s="22" t="n">
        <v>1.25</v>
      </c>
      <c r="C20" s="6" t="inlineStr">
        <is>
          <t>Standard small-org loading assumption</t>
        </is>
      </c>
    </row>
    <row r="21">
      <c r="A21" s="6" t="inlineStr">
        <is>
          <t>Launch event (Nov 6), $</t>
        </is>
      </c>
      <c r="B21" s="12" t="n">
        <v>12000</v>
      </c>
      <c r="C21" s="6" t="inlineStr">
        <is>
          <t>150-person venue+catering+bev, North County SD rough-up (UNVERIFIED range $11–14k)</t>
        </is>
      </c>
    </row>
    <row r="22">
      <c r="A22" s="6" t="inlineStr">
        <is>
          <t>Film series Year 1, $</t>
        </is>
      </c>
      <c r="B22" s="18" t="n">
        <v>10000</v>
      </c>
      <c r="C22" s="6" t="inlineStr">
        <is>
          <t>3 cinematic 2-min testimonials, batched one shoot day (vidico.com et al: $3–10k/video, batching cuts 40–60%)</t>
        </is>
      </c>
    </row>
    <row r="23">
      <c r="A23" s="6" t="inlineStr">
        <is>
          <t>Community event subsidy, $/community/yr</t>
        </is>
      </c>
      <c r="B23" s="18" t="n">
        <v>200</v>
      </c>
      <c r="C23" s="6" t="inlineStr">
        <is>
          <t>Assumption: small stipend per community gathering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23" t="inlineStr">
        <is>
          <t>S — Small — SD only, slow build</t>
        </is>
      </c>
    </row>
    <row r="2">
      <c r="B2" s="5" t="inlineStr">
        <is>
          <t>Y1 (Nov 26–Oct 27)</t>
        </is>
      </c>
      <c r="C2" s="5" t="inlineStr">
        <is>
          <t>Y2</t>
        </is>
      </c>
      <c r="D2" s="5" t="inlineStr">
        <is>
          <t>Y3</t>
        </is>
      </c>
    </row>
    <row r="3">
      <c r="A3" s="4" t="inlineStr">
        <is>
          <t>DRIVERS (blue = edit me)</t>
        </is>
      </c>
    </row>
    <row r="4">
      <c r="A4" s="6" t="inlineStr">
        <is>
          <t>Avg paying members</t>
        </is>
      </c>
      <c r="B4" s="19" t="n">
        <v>150</v>
      </c>
      <c r="C4" s="19" t="n">
        <v>400</v>
      </c>
      <c r="D4" s="19" t="n">
        <v>900</v>
      </c>
    </row>
    <row r="5">
      <c r="A5" s="6" t="inlineStr">
        <is>
          <t>Communities</t>
        </is>
      </c>
      <c r="B5" s="10" t="n">
        <v>3</v>
      </c>
      <c r="C5" s="10" t="n">
        <v>5</v>
      </c>
      <c r="D5" s="10" t="n">
        <v>8</v>
      </c>
    </row>
    <row r="6">
      <c r="A6" s="6" t="inlineStr">
        <is>
          <t>Other money moved, $/member/yr</t>
        </is>
      </c>
      <c r="B6" s="12" t="n">
        <v>60</v>
      </c>
      <c r="C6" s="12" t="n">
        <v>80</v>
      </c>
      <c r="D6" s="12" t="n">
        <v>100</v>
      </c>
    </row>
    <row r="7">
      <c r="A7" s="6" t="inlineStr">
        <is>
          <t>New signups / yr</t>
        </is>
      </c>
      <c r="B7" s="10" t="n">
        <v>300</v>
      </c>
      <c r="C7" s="10" t="n">
        <v>500</v>
      </c>
      <c r="D7" s="10" t="n">
        <v>1000</v>
      </c>
    </row>
    <row r="8">
      <c r="A8" s="6" t="inlineStr">
        <is>
          <t>PT community staff, hrs/wk</t>
        </is>
      </c>
      <c r="B8" s="10" t="n">
        <v>10</v>
      </c>
      <c r="C8" s="10" t="n">
        <v>10</v>
      </c>
      <c r="D8" s="10" t="n">
        <v>15</v>
      </c>
    </row>
    <row r="9">
      <c r="A9" s="6" t="inlineStr">
        <is>
          <t>FT community staff, headcount</t>
        </is>
      </c>
      <c r="B9" s="10" t="n">
        <v>0</v>
      </c>
      <c r="C9" s="10" t="n">
        <v>0</v>
      </c>
      <c r="D9" s="10" t="n">
        <v>0</v>
      </c>
    </row>
    <row r="10">
      <c r="A10" s="6" t="inlineStr">
        <is>
          <t>Founder comp, $/yr</t>
        </is>
      </c>
      <c r="B10" s="18" t="n">
        <v>0</v>
      </c>
      <c r="C10" s="18" t="n">
        <v>0</v>
      </c>
      <c r="D10" s="18" t="n">
        <v>24000</v>
      </c>
    </row>
    <row r="12">
      <c r="A12" s="4" t="inlineStr">
        <is>
          <t>REVENUE</t>
        </is>
      </c>
    </row>
    <row r="13">
      <c r="A13" s="6" t="inlineStr">
        <is>
          <t>Dues GMV</t>
        </is>
      </c>
      <c r="B13" s="14">
        <f>B4*Inputs!$B$3*12</f>
        <v>18000</v>
      </c>
      <c r="C13" s="14">
        <f>C4*Inputs!$B$3*12</f>
        <v>48000</v>
      </c>
      <c r="D13" s="14">
        <f>D4*Inputs!$B$3*12</f>
        <v>108000</v>
      </c>
    </row>
    <row r="14">
      <c r="A14" s="6" t="inlineStr">
        <is>
          <t>Other GMV (funding, classes, sponsorships)</t>
        </is>
      </c>
      <c r="B14" s="14">
        <f>B4*B6</f>
        <v>9000</v>
      </c>
      <c r="C14" s="14">
        <f>C4*C6</f>
        <v>32000</v>
      </c>
      <c r="D14" s="14">
        <f>D4*D6</f>
        <v>90000</v>
      </c>
    </row>
    <row r="15">
      <c r="A15" s="4" t="inlineStr">
        <is>
          <t>Total money moved (GMV)</t>
        </is>
      </c>
      <c r="B15" s="13">
        <f>B13+B14</f>
        <v>27000</v>
      </c>
      <c r="C15" s="13">
        <f>C13+C14</f>
        <v>80000</v>
      </c>
      <c r="D15" s="13">
        <f>D13+D14</f>
        <v>198000</v>
      </c>
    </row>
    <row r="16">
      <c r="A16" s="6" t="inlineStr">
        <is>
          <t>Platform gross (take × GMV)</t>
        </is>
      </c>
      <c r="B16" s="14">
        <f>B15*Inputs!$B$4</f>
        <v>2700</v>
      </c>
      <c r="C16" s="14">
        <f>C15*Inputs!$B$4</f>
        <v>8000</v>
      </c>
      <c r="D16" s="14">
        <f>D15*Inputs!$B$4</f>
        <v>19800</v>
      </c>
    </row>
    <row r="17">
      <c r="A17" s="6" t="inlineStr">
        <is>
          <t>Processing absorbed (cards + billing)</t>
        </is>
      </c>
      <c r="B17" s="14">
        <f>Inputs!$B$9*((B13*(Inputs!$B$5+Inputs!$B$7))+(B4*12*Inputs!$B$6)+(B14*(Inputs!$B$5+Inputs!$B$7))+(B14/Inputs!$B$8*Inputs!$B$6))</f>
        <v>0</v>
      </c>
      <c r="C17" s="14">
        <f>Inputs!$B$9*((C13*(Inputs!$B$5+Inputs!$B$7))+(C4*12*Inputs!$B$6)+(C14*(Inputs!$B$5+Inputs!$B$7))+(C14/Inputs!$B$8*Inputs!$B$6))</f>
        <v>0</v>
      </c>
      <c r="D17" s="14">
        <f>Inputs!$B$9*((D13*(Inputs!$B$5+Inputs!$B$7))+(D4*12*Inputs!$B$6)+(D14*(Inputs!$B$5+Inputs!$B$7))+(D14/Inputs!$B$8*Inputs!$B$6))</f>
        <v>0</v>
      </c>
    </row>
    <row r="18">
      <c r="A18" s="4" t="inlineStr">
        <is>
          <t>NET PLATFORM REVENUE</t>
        </is>
      </c>
      <c r="B18" s="13">
        <f>B16-B17</f>
        <v>2700</v>
      </c>
      <c r="C18" s="13">
        <f>C16-C17</f>
        <v>8000</v>
      </c>
      <c r="D18" s="13">
        <f>D16-D17</f>
        <v>19800</v>
      </c>
    </row>
    <row r="20">
      <c r="A20" s="4" t="inlineStr">
        <is>
          <t>COSTS</t>
        </is>
      </c>
    </row>
    <row r="21">
      <c r="A21" s="6" t="inlineStr">
        <is>
          <t>Video (LiveKit tier)</t>
        </is>
      </c>
      <c r="B21" s="18" t="n">
        <v>0</v>
      </c>
      <c r="C21" s="18" t="n">
        <v>600</v>
      </c>
      <c r="D21" s="18" t="n">
        <v>600</v>
      </c>
    </row>
    <row r="22">
      <c r="A22" s="6" t="inlineStr">
        <is>
          <t>Email</t>
        </is>
      </c>
      <c r="B22" s="14">
        <f>B4*Inputs!$B$10*12/1000*Inputs!$B$11</f>
        <v>12.6</v>
      </c>
      <c r="C22" s="14">
        <f>C4*Inputs!$B$10*12/1000*Inputs!$B$11</f>
        <v>33.6</v>
      </c>
      <c r="D22" s="14">
        <f>D4*Inputs!$B$10*12/1000*Inputs!$B$11</f>
        <v>75.6</v>
      </c>
    </row>
    <row r="23">
      <c r="A23" s="6" t="inlineStr">
        <is>
          <t>SMS verification</t>
        </is>
      </c>
      <c r="B23" s="14">
        <f>B7*Inputs!$B$12*Inputs!$B$13</f>
        <v>52.47</v>
      </c>
      <c r="C23" s="14">
        <f>C7*Inputs!$B$12*Inputs!$B$13</f>
        <v>87.45</v>
      </c>
      <c r="D23" s="14">
        <f>D7*Inputs!$B$12*Inputs!$B$13</f>
        <v>174.9</v>
      </c>
    </row>
    <row r="24">
      <c r="A24" s="6" t="inlineStr">
        <is>
          <t>Convex (backend)</t>
        </is>
      </c>
      <c r="B24" s="14">
        <f>Inputs!$B$14*Inputs!$B$15*12+Inputs!$B$16</f>
        <v>600</v>
      </c>
      <c r="C24" s="14">
        <f>Inputs!$B$14*Inputs!$B$15*12+Inputs!$B$16</f>
        <v>600</v>
      </c>
      <c r="D24" s="14">
        <f>Inputs!$B$14*Inputs!$B$15*12+Inputs!$B$16</f>
        <v>600</v>
      </c>
    </row>
    <row r="25">
      <c r="A25" s="6" t="inlineStr">
        <is>
          <t>Cloudflare + domains + tools</t>
        </is>
      </c>
      <c r="B25" s="14">
        <f>Inputs!$B$17*12</f>
        <v>360</v>
      </c>
      <c r="C25" s="14">
        <f>Inputs!$B$17*12</f>
        <v>360</v>
      </c>
      <c r="D25" s="14">
        <f>Inputs!$B$17*12</f>
        <v>360</v>
      </c>
    </row>
    <row r="26">
      <c r="A26" s="6" t="inlineStr">
        <is>
          <t>Community staff — part-time</t>
        </is>
      </c>
      <c r="B26" s="14">
        <f>B8*Inputs!$B$18*52</f>
        <v>14736.8</v>
      </c>
      <c r="C26" s="14">
        <f>C8*Inputs!$B$18*52</f>
        <v>14736.8</v>
      </c>
      <c r="D26" s="14">
        <f>D8*Inputs!$B$18*52</f>
        <v>22105.2</v>
      </c>
    </row>
    <row r="27">
      <c r="A27" s="6" t="inlineStr">
        <is>
          <t>Community staff — full-time (loaded)</t>
        </is>
      </c>
      <c r="B27" s="14">
        <f>B9*Inputs!$B$19*Inputs!$B$20</f>
        <v>0</v>
      </c>
      <c r="C27" s="14">
        <f>C9*Inputs!$B$19*Inputs!$B$20</f>
        <v>0</v>
      </c>
      <c r="D27" s="14">
        <f>D9*Inputs!$B$19*Inputs!$B$20</f>
        <v>0</v>
      </c>
    </row>
    <row r="28">
      <c r="A28" s="6" t="inlineStr">
        <is>
          <t>Founder comp</t>
        </is>
      </c>
      <c r="B28" s="14">
        <f>B10</f>
        <v>0</v>
      </c>
      <c r="C28" s="14">
        <f>C10</f>
        <v>0</v>
      </c>
      <c r="D28" s="14">
        <f>D10</f>
        <v>24000</v>
      </c>
    </row>
    <row r="29">
      <c r="A29" s="6" t="inlineStr">
        <is>
          <t>Launch / annual event</t>
        </is>
      </c>
      <c r="B29" s="24">
        <f>Inputs!$B$21</f>
        <v>12000</v>
      </c>
      <c r="C29" s="18" t="n">
        <v>0</v>
      </c>
      <c r="D29" s="18" t="n">
        <v>0</v>
      </c>
    </row>
    <row r="30">
      <c r="A30" s="6" t="inlineStr">
        <is>
          <t>Film / testimonial series</t>
        </is>
      </c>
      <c r="B30" s="24">
        <f>Inputs!$B$22</f>
        <v>10000</v>
      </c>
      <c r="C30" s="18" t="n">
        <v>0</v>
      </c>
      <c r="D30" s="18" t="n">
        <v>0</v>
      </c>
    </row>
    <row r="31">
      <c r="A31" s="6" t="inlineStr">
        <is>
          <t>Community event subsidies</t>
        </is>
      </c>
      <c r="B31" s="14">
        <f>B5*Inputs!$B$23</f>
        <v>600</v>
      </c>
      <c r="C31" s="14">
        <f>C5*Inputs!$B$23</f>
        <v>1000</v>
      </c>
      <c r="D31" s="14">
        <f>D5*Inputs!$B$23</f>
        <v>1600</v>
      </c>
    </row>
    <row r="32">
      <c r="A32" s="6" t="inlineStr">
        <is>
          <t>G&amp;A (legal, accounting, insurance)</t>
        </is>
      </c>
      <c r="B32" s="18" t="n">
        <v>4000</v>
      </c>
      <c r="C32" s="18" t="n">
        <v>4000</v>
      </c>
      <c r="D32" s="18" t="n">
        <v>5000</v>
      </c>
    </row>
    <row r="33">
      <c r="A33" s="4" t="inlineStr">
        <is>
          <t>TOTAL COSTS</t>
        </is>
      </c>
      <c r="B33" s="13">
        <f>SUM(B21:B32)</f>
        <v>42361.87</v>
      </c>
      <c r="C33" s="13">
        <f>SUM(C21:C32)</f>
        <v>21417.85</v>
      </c>
      <c r="D33" s="13">
        <f>SUM(D21:D32)</f>
        <v>54515.7</v>
      </c>
    </row>
    <row r="35">
      <c r="A35" s="4" t="inlineStr">
        <is>
          <t>EBITDA</t>
        </is>
      </c>
      <c r="B35" s="13">
        <f>B18-B33</f>
        <v>-39661.87</v>
      </c>
      <c r="C35" s="13">
        <f>C18-C33</f>
        <v>-13417.85</v>
      </c>
      <c r="D35" s="13">
        <f>D18-D33</f>
        <v>-34715.7</v>
      </c>
    </row>
    <row r="36">
      <c r="A36" s="4" t="inlineStr">
        <is>
          <t>Cumulative cash need</t>
        </is>
      </c>
      <c r="B36" s="13">
        <f>B35</f>
        <v>-39661.87</v>
      </c>
      <c r="C36" s="13">
        <f>B36+C35</f>
        <v>-53079.72</v>
      </c>
      <c r="D36" s="13">
        <f>C36+D35</f>
        <v>-87795.42</v>
      </c>
    </row>
    <row r="38">
      <c r="A38" s="6" t="inlineStr">
        <is>
          <t>Memo: net revenue per member/yr</t>
        </is>
      </c>
      <c r="B38" s="25">
        <f>IF(B4=0,0,B18/B4)</f>
        <v>18</v>
      </c>
      <c r="C38" s="25">
        <f>IF(C4=0,0,C18/C4)</f>
        <v>20</v>
      </c>
      <c r="D38" s="25">
        <f>IF(D4=0,0,D18/D4)</f>
        <v>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23" t="inlineStr">
        <is>
          <t>M — Medium — 3 metros by Y3</t>
        </is>
      </c>
    </row>
    <row r="2">
      <c r="B2" s="5" t="inlineStr">
        <is>
          <t>Y1 (Nov 26–Oct 27)</t>
        </is>
      </c>
      <c r="C2" s="5" t="inlineStr">
        <is>
          <t>Y2</t>
        </is>
      </c>
      <c r="D2" s="5" t="inlineStr">
        <is>
          <t>Y3</t>
        </is>
      </c>
    </row>
    <row r="3">
      <c r="A3" s="4" t="inlineStr">
        <is>
          <t>DRIVERS (blue = edit me)</t>
        </is>
      </c>
    </row>
    <row r="4">
      <c r="A4" s="6" t="inlineStr">
        <is>
          <t>Avg paying members</t>
        </is>
      </c>
      <c r="B4" s="19" t="n">
        <v>400</v>
      </c>
      <c r="C4" s="19" t="n">
        <v>1500</v>
      </c>
      <c r="D4" s="19" t="n">
        <v>4500</v>
      </c>
    </row>
    <row r="5">
      <c r="A5" s="6" t="inlineStr">
        <is>
          <t>Communities</t>
        </is>
      </c>
      <c r="B5" s="10" t="n">
        <v>6</v>
      </c>
      <c r="C5" s="10" t="n">
        <v>12</v>
      </c>
      <c r="D5" s="10" t="n">
        <v>20</v>
      </c>
    </row>
    <row r="6">
      <c r="A6" s="6" t="inlineStr">
        <is>
          <t>Other money moved, $/member/yr</t>
        </is>
      </c>
      <c r="B6" s="12" t="n">
        <v>100</v>
      </c>
      <c r="C6" s="12" t="n">
        <v>140</v>
      </c>
      <c r="D6" s="12" t="n">
        <v>180</v>
      </c>
    </row>
    <row r="7">
      <c r="A7" s="6" t="inlineStr">
        <is>
          <t>New signups / yr</t>
        </is>
      </c>
      <c r="B7" s="10" t="n">
        <v>800</v>
      </c>
      <c r="C7" s="10" t="n">
        <v>2200</v>
      </c>
      <c r="D7" s="10" t="n">
        <v>5000</v>
      </c>
    </row>
    <row r="8">
      <c r="A8" s="6" t="inlineStr">
        <is>
          <t>PT community staff, hrs/wk</t>
        </is>
      </c>
      <c r="B8" s="10" t="n">
        <v>15</v>
      </c>
      <c r="C8" s="10" t="n">
        <v>10</v>
      </c>
      <c r="D8" s="10" t="n">
        <v>10</v>
      </c>
    </row>
    <row r="9">
      <c r="A9" s="6" t="inlineStr">
        <is>
          <t>FT community staff, headcount</t>
        </is>
      </c>
      <c r="B9" s="10" t="n">
        <v>0</v>
      </c>
      <c r="C9" s="10" t="n">
        <v>1</v>
      </c>
      <c r="D9" s="10" t="n">
        <v>2</v>
      </c>
    </row>
    <row r="10">
      <c r="A10" s="6" t="inlineStr">
        <is>
          <t>Founder comp, $/yr</t>
        </is>
      </c>
      <c r="B10" s="18" t="n">
        <v>0</v>
      </c>
      <c r="C10" s="18" t="n">
        <v>48000</v>
      </c>
      <c r="D10" s="18" t="n">
        <v>72000</v>
      </c>
    </row>
    <row r="12">
      <c r="A12" s="4" t="inlineStr">
        <is>
          <t>REVENUE</t>
        </is>
      </c>
    </row>
    <row r="13">
      <c r="A13" s="6" t="inlineStr">
        <is>
          <t>Dues GMV</t>
        </is>
      </c>
      <c r="B13" s="14">
        <f>B4*Inputs!$B$3*12</f>
        <v>48000</v>
      </c>
      <c r="C13" s="14">
        <f>C4*Inputs!$B$3*12</f>
        <v>180000</v>
      </c>
      <c r="D13" s="14">
        <f>D4*Inputs!$B$3*12</f>
        <v>540000</v>
      </c>
    </row>
    <row r="14">
      <c r="A14" s="6" t="inlineStr">
        <is>
          <t>Other GMV (funding, classes, sponsorships)</t>
        </is>
      </c>
      <c r="B14" s="14">
        <f>B4*B6</f>
        <v>40000</v>
      </c>
      <c r="C14" s="14">
        <f>C4*C6</f>
        <v>210000</v>
      </c>
      <c r="D14" s="14">
        <f>D4*D6</f>
        <v>810000</v>
      </c>
    </row>
    <row r="15">
      <c r="A15" s="4" t="inlineStr">
        <is>
          <t>Total money moved (GMV)</t>
        </is>
      </c>
      <c r="B15" s="13">
        <f>B13+B14</f>
        <v>88000</v>
      </c>
      <c r="C15" s="13">
        <f>C13+C14</f>
        <v>390000</v>
      </c>
      <c r="D15" s="13">
        <f>D13+D14</f>
        <v>1350000</v>
      </c>
    </row>
    <row r="16">
      <c r="A16" s="6" t="inlineStr">
        <is>
          <t>Platform gross (take × GMV)</t>
        </is>
      </c>
      <c r="B16" s="14">
        <f>B15*Inputs!$B$4</f>
        <v>8800</v>
      </c>
      <c r="C16" s="14">
        <f>C15*Inputs!$B$4</f>
        <v>39000</v>
      </c>
      <c r="D16" s="14">
        <f>D15*Inputs!$B$4</f>
        <v>135000</v>
      </c>
    </row>
    <row r="17">
      <c r="A17" s="6" t="inlineStr">
        <is>
          <t>Processing absorbed (cards + billing)</t>
        </is>
      </c>
      <c r="B17" s="14">
        <f>Inputs!$B$9*((B13*(Inputs!$B$5+Inputs!$B$7))+(B4*12*Inputs!$B$6)+(B14*(Inputs!$B$5+Inputs!$B$7))+(B14/Inputs!$B$8*Inputs!$B$6))</f>
        <v>0</v>
      </c>
      <c r="C17" s="14">
        <f>Inputs!$B$9*((C13*(Inputs!$B$5+Inputs!$B$7))+(C4*12*Inputs!$B$6)+(C14*(Inputs!$B$5+Inputs!$B$7))+(C14/Inputs!$B$8*Inputs!$B$6))</f>
        <v>0</v>
      </c>
      <c r="D17" s="14">
        <f>Inputs!$B$9*((D13*(Inputs!$B$5+Inputs!$B$7))+(D4*12*Inputs!$B$6)+(D14*(Inputs!$B$5+Inputs!$B$7))+(D14/Inputs!$B$8*Inputs!$B$6))</f>
        <v>0</v>
      </c>
    </row>
    <row r="18">
      <c r="A18" s="4" t="inlineStr">
        <is>
          <t>NET PLATFORM REVENUE</t>
        </is>
      </c>
      <c r="B18" s="13">
        <f>B16-B17</f>
        <v>8800</v>
      </c>
      <c r="C18" s="13">
        <f>C16-C17</f>
        <v>39000</v>
      </c>
      <c r="D18" s="13">
        <f>D16-D17</f>
        <v>135000</v>
      </c>
    </row>
    <row r="20">
      <c r="A20" s="4" t="inlineStr">
        <is>
          <t>COSTS</t>
        </is>
      </c>
    </row>
    <row r="21">
      <c r="A21" s="6" t="inlineStr">
        <is>
          <t>Video (LiveKit tier)</t>
        </is>
      </c>
      <c r="B21" s="18" t="n">
        <v>600</v>
      </c>
      <c r="C21" s="18" t="n">
        <v>600</v>
      </c>
      <c r="D21" s="18" t="n">
        <v>1800</v>
      </c>
    </row>
    <row r="22">
      <c r="A22" s="6" t="inlineStr">
        <is>
          <t>Email</t>
        </is>
      </c>
      <c r="B22" s="14">
        <f>B4*Inputs!$B$10*12/1000*Inputs!$B$11</f>
        <v>33.6</v>
      </c>
      <c r="C22" s="14">
        <f>C4*Inputs!$B$10*12/1000*Inputs!$B$11</f>
        <v>126</v>
      </c>
      <c r="D22" s="14">
        <f>D4*Inputs!$B$10*12/1000*Inputs!$B$11</f>
        <v>378</v>
      </c>
    </row>
    <row r="23">
      <c r="A23" s="6" t="inlineStr">
        <is>
          <t>SMS verification</t>
        </is>
      </c>
      <c r="B23" s="14">
        <f>B7*Inputs!$B$12*Inputs!$B$13</f>
        <v>139.92</v>
      </c>
      <c r="C23" s="14">
        <f>C7*Inputs!$B$12*Inputs!$B$13</f>
        <v>384.78</v>
      </c>
      <c r="D23" s="14">
        <f>D7*Inputs!$B$12*Inputs!$B$13</f>
        <v>874.5</v>
      </c>
    </row>
    <row r="24">
      <c r="A24" s="6" t="inlineStr">
        <is>
          <t>Convex (backend)</t>
        </is>
      </c>
      <c r="B24" s="14">
        <f>Inputs!$B$14*Inputs!$B$15*12+Inputs!$B$16</f>
        <v>600</v>
      </c>
      <c r="C24" s="14">
        <f>Inputs!$B$14*Inputs!$B$15*12+Inputs!$B$16</f>
        <v>600</v>
      </c>
      <c r="D24" s="14">
        <f>Inputs!$B$14*Inputs!$B$15*12+Inputs!$B$16</f>
        <v>600</v>
      </c>
    </row>
    <row r="25">
      <c r="A25" s="6" t="inlineStr">
        <is>
          <t>Cloudflare + domains + tools</t>
        </is>
      </c>
      <c r="B25" s="14">
        <f>Inputs!$B$17*12</f>
        <v>360</v>
      </c>
      <c r="C25" s="14">
        <f>Inputs!$B$17*12</f>
        <v>360</v>
      </c>
      <c r="D25" s="14">
        <f>Inputs!$B$17*12</f>
        <v>360</v>
      </c>
    </row>
    <row r="26">
      <c r="A26" s="6" t="inlineStr">
        <is>
          <t>Community staff — part-time</t>
        </is>
      </c>
      <c r="B26" s="14">
        <f>B8*Inputs!$B$18*52</f>
        <v>22105.2</v>
      </c>
      <c r="C26" s="14">
        <f>C8*Inputs!$B$18*52</f>
        <v>14736.8</v>
      </c>
      <c r="D26" s="14">
        <f>D8*Inputs!$B$18*52</f>
        <v>14736.8</v>
      </c>
    </row>
    <row r="27">
      <c r="A27" s="6" t="inlineStr">
        <is>
          <t>Community staff — full-time (loaded)</t>
        </is>
      </c>
      <c r="B27" s="14">
        <f>B9*Inputs!$B$19*Inputs!$B$20</f>
        <v>0</v>
      </c>
      <c r="C27" s="14">
        <f>C9*Inputs!$B$19*Inputs!$B$20</f>
        <v>82500</v>
      </c>
      <c r="D27" s="14">
        <f>D9*Inputs!$B$19*Inputs!$B$20</f>
        <v>165000</v>
      </c>
    </row>
    <row r="28">
      <c r="A28" s="6" t="inlineStr">
        <is>
          <t>Founder comp</t>
        </is>
      </c>
      <c r="B28" s="14">
        <f>B10</f>
        <v>0</v>
      </c>
      <c r="C28" s="14">
        <f>C10</f>
        <v>48000</v>
      </c>
      <c r="D28" s="14">
        <f>D10</f>
        <v>72000</v>
      </c>
    </row>
    <row r="29">
      <c r="A29" s="6" t="inlineStr">
        <is>
          <t>Launch / annual event</t>
        </is>
      </c>
      <c r="B29" s="24">
        <f>Inputs!$B$21</f>
        <v>12000</v>
      </c>
      <c r="C29" s="18" t="n">
        <v>6000</v>
      </c>
      <c r="D29" s="18" t="n">
        <v>6000</v>
      </c>
    </row>
    <row r="30">
      <c r="A30" s="6" t="inlineStr">
        <is>
          <t>Film / testimonial series</t>
        </is>
      </c>
      <c r="B30" s="24">
        <f>Inputs!$B$22</f>
        <v>10000</v>
      </c>
      <c r="C30" s="18" t="n">
        <v>5000</v>
      </c>
      <c r="D30" s="18" t="n">
        <v>5000</v>
      </c>
    </row>
    <row r="31">
      <c r="A31" s="6" t="inlineStr">
        <is>
          <t>Community event subsidies</t>
        </is>
      </c>
      <c r="B31" s="14">
        <f>B5*Inputs!$B$23</f>
        <v>1200</v>
      </c>
      <c r="C31" s="14">
        <f>C5*Inputs!$B$23</f>
        <v>2400</v>
      </c>
      <c r="D31" s="14">
        <f>D5*Inputs!$B$23</f>
        <v>4000</v>
      </c>
    </row>
    <row r="32">
      <c r="A32" s="6" t="inlineStr">
        <is>
          <t>G&amp;A (legal, accounting, insurance)</t>
        </is>
      </c>
      <c r="B32" s="18" t="n">
        <v>5000</v>
      </c>
      <c r="C32" s="18" t="n">
        <v>8000</v>
      </c>
      <c r="D32" s="18" t="n">
        <v>12000</v>
      </c>
    </row>
    <row r="33">
      <c r="A33" s="4" t="inlineStr">
        <is>
          <t>TOTAL COSTS</t>
        </is>
      </c>
      <c r="B33" s="13">
        <f>SUM(B21:B32)</f>
        <v>52038.72</v>
      </c>
      <c r="C33" s="13">
        <f>SUM(C21:C32)</f>
        <v>168707.58</v>
      </c>
      <c r="D33" s="13">
        <f>SUM(D21:D32)</f>
        <v>282749.3</v>
      </c>
    </row>
    <row r="35">
      <c r="A35" s="4" t="inlineStr">
        <is>
          <t>EBITDA</t>
        </is>
      </c>
      <c r="B35" s="13">
        <f>B18-B33</f>
        <v>-43238.72</v>
      </c>
      <c r="C35" s="13">
        <f>C18-C33</f>
        <v>-129707.58</v>
      </c>
      <c r="D35" s="13">
        <f>D18-D33</f>
        <v>-147749.3</v>
      </c>
    </row>
    <row r="36">
      <c r="A36" s="4" t="inlineStr">
        <is>
          <t>Cumulative cash need</t>
        </is>
      </c>
      <c r="B36" s="13">
        <f>B35</f>
        <v>-43238.72</v>
      </c>
      <c r="C36" s="13">
        <f>B36+C35</f>
        <v>-172946.3</v>
      </c>
      <c r="D36" s="13">
        <f>C36+D35</f>
        <v>-320695.6</v>
      </c>
    </row>
    <row r="38">
      <c r="A38" s="6" t="inlineStr">
        <is>
          <t>Memo: net revenue per member/yr</t>
        </is>
      </c>
      <c r="B38" s="25">
        <f>IF(B4=0,0,B18/B4)</f>
        <v>22</v>
      </c>
      <c r="C38" s="25">
        <f>IF(C4=0,0,C18/C4)</f>
        <v>26</v>
      </c>
      <c r="D38" s="25">
        <f>IF(D4=0,0,D18/D4)</f>
        <v>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23" t="inlineStr">
        <is>
          <t>L — Large — national network</t>
        </is>
      </c>
    </row>
    <row r="2">
      <c r="B2" s="5" t="inlineStr">
        <is>
          <t>Y1 (Nov 26–Oct 27)</t>
        </is>
      </c>
      <c r="C2" s="5" t="inlineStr">
        <is>
          <t>Y2</t>
        </is>
      </c>
      <c r="D2" s="5" t="inlineStr">
        <is>
          <t>Y3</t>
        </is>
      </c>
    </row>
    <row r="3">
      <c r="A3" s="4" t="inlineStr">
        <is>
          <t>DRIVERS (blue = edit me)</t>
        </is>
      </c>
    </row>
    <row r="4">
      <c r="A4" s="6" t="inlineStr">
        <is>
          <t>Avg paying members</t>
        </is>
      </c>
      <c r="B4" s="19" t="n">
        <v>1000</v>
      </c>
      <c r="C4" s="19" t="n">
        <v>5000</v>
      </c>
      <c r="D4" s="19" t="n">
        <v>15000</v>
      </c>
    </row>
    <row r="5">
      <c r="A5" s="6" t="inlineStr">
        <is>
          <t>Communities</t>
        </is>
      </c>
      <c r="B5" s="10" t="n">
        <v>10</v>
      </c>
      <c r="C5" s="10" t="n">
        <v>25</v>
      </c>
      <c r="D5" s="10" t="n">
        <v>50</v>
      </c>
    </row>
    <row r="6">
      <c r="A6" s="6" t="inlineStr">
        <is>
          <t>Other money moved, $/member/yr</t>
        </is>
      </c>
      <c r="B6" s="12" t="n">
        <v>150</v>
      </c>
      <c r="C6" s="12" t="n">
        <v>220</v>
      </c>
      <c r="D6" s="12" t="n">
        <v>300</v>
      </c>
    </row>
    <row r="7">
      <c r="A7" s="6" t="inlineStr">
        <is>
          <t>New signups / yr</t>
        </is>
      </c>
      <c r="B7" s="10" t="n">
        <v>2000</v>
      </c>
      <c r="C7" s="10" t="n">
        <v>7000</v>
      </c>
      <c r="D7" s="10" t="n">
        <v>18000</v>
      </c>
    </row>
    <row r="8">
      <c r="A8" s="6" t="inlineStr">
        <is>
          <t>PT community staff, hrs/wk</t>
        </is>
      </c>
      <c r="B8" s="10" t="n">
        <v>20</v>
      </c>
      <c r="C8" s="10" t="n">
        <v>10</v>
      </c>
      <c r="D8" s="10" t="n">
        <v>20</v>
      </c>
    </row>
    <row r="9">
      <c r="A9" s="6" t="inlineStr">
        <is>
          <t>FT community staff, headcount</t>
        </is>
      </c>
      <c r="B9" s="10" t="n">
        <v>1</v>
      </c>
      <c r="C9" s="10" t="n">
        <v>2</v>
      </c>
      <c r="D9" s="10" t="n">
        <v>4</v>
      </c>
    </row>
    <row r="10">
      <c r="A10" s="6" t="inlineStr">
        <is>
          <t>Founder comp, $/yr</t>
        </is>
      </c>
      <c r="B10" s="18" t="n">
        <v>48000</v>
      </c>
      <c r="C10" s="18" t="n">
        <v>72000</v>
      </c>
      <c r="D10" s="18" t="n">
        <v>96000</v>
      </c>
    </row>
    <row r="12">
      <c r="A12" s="4" t="inlineStr">
        <is>
          <t>REVENUE</t>
        </is>
      </c>
    </row>
    <row r="13">
      <c r="A13" s="6" t="inlineStr">
        <is>
          <t>Dues GMV</t>
        </is>
      </c>
      <c r="B13" s="14">
        <f>B4*Inputs!$B$3*12</f>
        <v>120000</v>
      </c>
      <c r="C13" s="14">
        <f>C4*Inputs!$B$3*12</f>
        <v>600000</v>
      </c>
      <c r="D13" s="14">
        <f>D4*Inputs!$B$3*12</f>
        <v>1800000</v>
      </c>
    </row>
    <row r="14">
      <c r="A14" s="6" t="inlineStr">
        <is>
          <t>Other GMV (funding, classes, sponsorships)</t>
        </is>
      </c>
      <c r="B14" s="14">
        <f>B4*B6</f>
        <v>150000</v>
      </c>
      <c r="C14" s="14">
        <f>C4*C6</f>
        <v>1100000</v>
      </c>
      <c r="D14" s="14">
        <f>D4*D6</f>
        <v>4500000</v>
      </c>
    </row>
    <row r="15">
      <c r="A15" s="4" t="inlineStr">
        <is>
          <t>Total money moved (GMV)</t>
        </is>
      </c>
      <c r="B15" s="13">
        <f>B13+B14</f>
        <v>270000</v>
      </c>
      <c r="C15" s="13">
        <f>C13+C14</f>
        <v>1700000</v>
      </c>
      <c r="D15" s="13">
        <f>D13+D14</f>
        <v>6300000</v>
      </c>
    </row>
    <row r="16">
      <c r="A16" s="6" t="inlineStr">
        <is>
          <t>Platform gross (take × GMV)</t>
        </is>
      </c>
      <c r="B16" s="14">
        <f>B15*Inputs!$B$4</f>
        <v>27000</v>
      </c>
      <c r="C16" s="14">
        <f>C15*Inputs!$B$4</f>
        <v>170000</v>
      </c>
      <c r="D16" s="14">
        <f>D15*Inputs!$B$4</f>
        <v>630000</v>
      </c>
    </row>
    <row r="17">
      <c r="A17" s="6" t="inlineStr">
        <is>
          <t>Processing absorbed (cards + billing)</t>
        </is>
      </c>
      <c r="B17" s="14">
        <f>Inputs!$B$9*((B13*(Inputs!$B$5+Inputs!$B$7))+(B4*12*Inputs!$B$6)+(B14*(Inputs!$B$5+Inputs!$B$7))+(B14/Inputs!$B$8*Inputs!$B$6))</f>
        <v>0</v>
      </c>
      <c r="C17" s="14">
        <f>Inputs!$B$9*((C13*(Inputs!$B$5+Inputs!$B$7))+(C4*12*Inputs!$B$6)+(C14*(Inputs!$B$5+Inputs!$B$7))+(C14/Inputs!$B$8*Inputs!$B$6))</f>
        <v>0</v>
      </c>
      <c r="D17" s="14">
        <f>Inputs!$B$9*((D13*(Inputs!$B$5+Inputs!$B$7))+(D4*12*Inputs!$B$6)+(D14*(Inputs!$B$5+Inputs!$B$7))+(D14/Inputs!$B$8*Inputs!$B$6))</f>
        <v>0</v>
      </c>
    </row>
    <row r="18">
      <c r="A18" s="4" t="inlineStr">
        <is>
          <t>NET PLATFORM REVENUE</t>
        </is>
      </c>
      <c r="B18" s="13">
        <f>B16-B17</f>
        <v>27000</v>
      </c>
      <c r="C18" s="13">
        <f>C16-C17</f>
        <v>170000</v>
      </c>
      <c r="D18" s="13">
        <f>D16-D17</f>
        <v>630000</v>
      </c>
    </row>
    <row r="20">
      <c r="A20" s="4" t="inlineStr">
        <is>
          <t>COSTS</t>
        </is>
      </c>
    </row>
    <row r="21">
      <c r="A21" s="6" t="inlineStr">
        <is>
          <t>Video (LiveKit tier)</t>
        </is>
      </c>
      <c r="B21" s="18" t="n">
        <v>600</v>
      </c>
      <c r="C21" s="18" t="n">
        <v>6000</v>
      </c>
      <c r="D21" s="18" t="n">
        <v>6000</v>
      </c>
    </row>
    <row r="22">
      <c r="A22" s="6" t="inlineStr">
        <is>
          <t>Email</t>
        </is>
      </c>
      <c r="B22" s="14">
        <f>B4*Inputs!$B$10*12/1000*Inputs!$B$11</f>
        <v>84</v>
      </c>
      <c r="C22" s="14">
        <f>C4*Inputs!$B$10*12/1000*Inputs!$B$11</f>
        <v>420</v>
      </c>
      <c r="D22" s="14">
        <f>D4*Inputs!$B$10*12/1000*Inputs!$B$11</f>
        <v>1260</v>
      </c>
    </row>
    <row r="23">
      <c r="A23" s="6" t="inlineStr">
        <is>
          <t>SMS verification</t>
        </is>
      </c>
      <c r="B23" s="14">
        <f>B7*Inputs!$B$12*Inputs!$B$13</f>
        <v>349.8</v>
      </c>
      <c r="C23" s="14">
        <f>C7*Inputs!$B$12*Inputs!$B$13</f>
        <v>1224.3</v>
      </c>
      <c r="D23" s="14">
        <f>D7*Inputs!$B$12*Inputs!$B$13</f>
        <v>3148.2</v>
      </c>
    </row>
    <row r="24">
      <c r="A24" s="6" t="inlineStr">
        <is>
          <t>Convex (backend)</t>
        </is>
      </c>
      <c r="B24" s="14">
        <f>Inputs!$B$14*Inputs!$B$15*12+Inputs!$B$16</f>
        <v>600</v>
      </c>
      <c r="C24" s="14">
        <f>Inputs!$B$14*Inputs!$B$15*12+Inputs!$B$16</f>
        <v>600</v>
      </c>
      <c r="D24" s="14">
        <f>Inputs!$B$14*Inputs!$B$15*12+Inputs!$B$16</f>
        <v>600</v>
      </c>
    </row>
    <row r="25">
      <c r="A25" s="6" t="inlineStr">
        <is>
          <t>Cloudflare + domains + tools</t>
        </is>
      </c>
      <c r="B25" s="14">
        <f>Inputs!$B$17*12</f>
        <v>360</v>
      </c>
      <c r="C25" s="14">
        <f>Inputs!$B$17*12</f>
        <v>360</v>
      </c>
      <c r="D25" s="14">
        <f>Inputs!$B$17*12</f>
        <v>360</v>
      </c>
    </row>
    <row r="26">
      <c r="A26" s="6" t="inlineStr">
        <is>
          <t>Community staff — part-time</t>
        </is>
      </c>
      <c r="B26" s="14">
        <f>B8*Inputs!$B$18*52</f>
        <v>29473.6</v>
      </c>
      <c r="C26" s="14">
        <f>C8*Inputs!$B$18*52</f>
        <v>14736.8</v>
      </c>
      <c r="D26" s="14">
        <f>D8*Inputs!$B$18*52</f>
        <v>29473.6</v>
      </c>
    </row>
    <row r="27">
      <c r="A27" s="6" t="inlineStr">
        <is>
          <t>Community staff — full-time (loaded)</t>
        </is>
      </c>
      <c r="B27" s="14">
        <f>B9*Inputs!$B$19*Inputs!$B$20</f>
        <v>82500</v>
      </c>
      <c r="C27" s="14">
        <f>C9*Inputs!$B$19*Inputs!$B$20</f>
        <v>165000</v>
      </c>
      <c r="D27" s="14">
        <f>D9*Inputs!$B$19*Inputs!$B$20</f>
        <v>330000</v>
      </c>
    </row>
    <row r="28">
      <c r="A28" s="6" t="inlineStr">
        <is>
          <t>Founder comp</t>
        </is>
      </c>
      <c r="B28" s="14">
        <f>B10</f>
        <v>48000</v>
      </c>
      <c r="C28" s="14">
        <f>C10</f>
        <v>72000</v>
      </c>
      <c r="D28" s="14">
        <f>D10</f>
        <v>96000</v>
      </c>
    </row>
    <row r="29">
      <c r="A29" s="6" t="inlineStr">
        <is>
          <t>Launch / annual event</t>
        </is>
      </c>
      <c r="B29" s="24">
        <f>Inputs!$B$21</f>
        <v>12000</v>
      </c>
      <c r="C29" s="18" t="n">
        <v>12000</v>
      </c>
      <c r="D29" s="18" t="n">
        <v>12000</v>
      </c>
    </row>
    <row r="30">
      <c r="A30" s="6" t="inlineStr">
        <is>
          <t>Film / testimonial series</t>
        </is>
      </c>
      <c r="B30" s="24">
        <f>Inputs!$B$22</f>
        <v>10000</v>
      </c>
      <c r="C30" s="18" t="n">
        <v>10000</v>
      </c>
      <c r="D30" s="18" t="n">
        <v>10000</v>
      </c>
    </row>
    <row r="31">
      <c r="A31" s="6" t="inlineStr">
        <is>
          <t>Community event subsidies</t>
        </is>
      </c>
      <c r="B31" s="14">
        <f>B5*Inputs!$B$23</f>
        <v>2000</v>
      </c>
      <c r="C31" s="14">
        <f>C5*Inputs!$B$23</f>
        <v>5000</v>
      </c>
      <c r="D31" s="14">
        <f>D5*Inputs!$B$23</f>
        <v>10000</v>
      </c>
    </row>
    <row r="32">
      <c r="A32" s="6" t="inlineStr">
        <is>
          <t>G&amp;A (legal, accounting, insurance)</t>
        </is>
      </c>
      <c r="B32" s="18" t="n">
        <v>8000</v>
      </c>
      <c r="C32" s="18" t="n">
        <v>15000</v>
      </c>
      <c r="D32" s="18" t="n">
        <v>25000</v>
      </c>
    </row>
    <row r="33">
      <c r="A33" s="4" t="inlineStr">
        <is>
          <t>TOTAL COSTS</t>
        </is>
      </c>
      <c r="B33" s="13">
        <f>SUM(B21:B32)</f>
        <v>193967.4</v>
      </c>
      <c r="C33" s="13">
        <f>SUM(C21:C32)</f>
        <v>302341.1</v>
      </c>
      <c r="D33" s="13">
        <f>SUM(D21:D32)</f>
        <v>523841.8</v>
      </c>
    </row>
    <row r="35">
      <c r="A35" s="4" t="inlineStr">
        <is>
          <t>EBITDA</t>
        </is>
      </c>
      <c r="B35" s="13">
        <f>B18-B33</f>
        <v>-166967.4</v>
      </c>
      <c r="C35" s="13">
        <f>C18-C33</f>
        <v>-132341.1</v>
      </c>
      <c r="D35" s="13">
        <f>D18-D33</f>
        <v>106158.2</v>
      </c>
    </row>
    <row r="36">
      <c r="A36" s="4" t="inlineStr">
        <is>
          <t>Cumulative cash need</t>
        </is>
      </c>
      <c r="B36" s="13">
        <f>B35</f>
        <v>-166967.4</v>
      </c>
      <c r="C36" s="13">
        <f>B36+C35</f>
        <v>-299308.5</v>
      </c>
      <c r="D36" s="13">
        <f>C36+D35</f>
        <v>-193150.3</v>
      </c>
    </row>
    <row r="38">
      <c r="A38" s="6" t="inlineStr">
        <is>
          <t>Memo: net revenue per member/yr</t>
        </is>
      </c>
      <c r="B38" s="25">
        <f>IF(B4=0,0,B18/B4)</f>
        <v>27</v>
      </c>
      <c r="C38" s="25">
        <f>IF(C4=0,0,C18/C4)</f>
        <v>34</v>
      </c>
      <c r="D38" s="25">
        <f>IF(D4=0,0,D18/D4)</f>
        <v>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</cols>
  <sheetData>
    <row r="1">
      <c r="A1" s="23" t="inlineStr">
        <is>
          <t>Side by side — Year 3 of each scenario</t>
        </is>
      </c>
    </row>
    <row r="2">
      <c r="B2" s="5" t="inlineStr">
        <is>
          <t>S</t>
        </is>
      </c>
      <c r="C2" s="5" t="inlineStr">
        <is>
          <t>M</t>
        </is>
      </c>
      <c r="D2" s="5" t="inlineStr">
        <is>
          <t>L</t>
        </is>
      </c>
    </row>
    <row r="3">
      <c r="A3" s="6" t="inlineStr">
        <is>
          <t>Avg paying members Y3</t>
        </is>
      </c>
      <c r="B3" s="26">
        <f>S!D4</f>
        <v>900</v>
      </c>
      <c r="C3" s="26">
        <f>M!D4</f>
        <v>4500</v>
      </c>
      <c r="D3" s="26">
        <f>L!D4</f>
        <v>15000</v>
      </c>
    </row>
    <row r="4">
      <c r="A4" s="6" t="inlineStr">
        <is>
          <t>Total GMV Y3</t>
        </is>
      </c>
      <c r="B4" s="24">
        <f>S!D15</f>
        <v>198000</v>
      </c>
      <c r="C4" s="24">
        <f>M!D15</f>
        <v>1350000</v>
      </c>
      <c r="D4" s="24">
        <f>L!D15</f>
        <v>6300000</v>
      </c>
    </row>
    <row r="5">
      <c r="A5" s="6" t="inlineStr">
        <is>
          <t>Net platform revenue Y3</t>
        </is>
      </c>
      <c r="B5" s="24">
        <f>S!D18</f>
        <v>19800</v>
      </c>
      <c r="C5" s="24">
        <f>M!D18</f>
        <v>135000</v>
      </c>
      <c r="D5" s="24">
        <f>L!D18</f>
        <v>630000</v>
      </c>
    </row>
    <row r="6">
      <c r="A6" s="6" t="inlineStr">
        <is>
          <t>Total costs Y3</t>
        </is>
      </c>
      <c r="B6" s="24">
        <f>S!D33</f>
        <v>54515.7</v>
      </c>
      <c r="C6" s="24">
        <f>M!D33</f>
        <v>282749.3</v>
      </c>
      <c r="D6" s="24">
        <f>L!D33</f>
        <v>523841.8</v>
      </c>
    </row>
    <row r="7">
      <c r="A7" s="6" t="inlineStr">
        <is>
          <t>EBITDA Y3</t>
        </is>
      </c>
      <c r="B7" s="24">
        <f>S!D35</f>
        <v>-34715.7</v>
      </c>
      <c r="C7" s="24">
        <f>M!D35</f>
        <v>-147749.3</v>
      </c>
      <c r="D7" s="24">
        <f>L!D35</f>
        <v>106158.2</v>
      </c>
    </row>
    <row r="8">
      <c r="A8" s="6" t="inlineStr">
        <is>
          <t>Cumulative cash need through Y3</t>
        </is>
      </c>
      <c r="B8" s="24">
        <f>S!D36</f>
        <v>-87795.42</v>
      </c>
      <c r="C8" s="24">
        <f>M!D36</f>
        <v>-320695.6</v>
      </c>
      <c r="D8" s="24">
        <f>L!D36</f>
        <v>-193150.3</v>
      </c>
    </row>
    <row r="10">
      <c r="A10" s="6" t="inlineStr">
        <is>
          <t>Founder time already invested</t>
        </is>
      </c>
      <c r="B10" s="24">
        <f>'Sweat Equity'!B13</f>
        <v>38762.5</v>
      </c>
    </row>
    <row r="12">
      <c r="A12" s="4" t="inlineStr">
        <is>
          <t>Flip Inputs!B9 to 0 (payer covers processing) and watch EBITDA — that one policy decides breakeven.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2026-09-03T06:59:33Z</dcterms:created>
  <dcterms:modified xsi:type="dcterms:W3CDTF">2026-09-03T07:01:09Z</dcterms:modified>
</cp:coreProperties>
</file>