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Garden" sheetId="3" state="visible" r:id="rId3"/>
    <sheet name="Exchange" sheetId="4" state="visible" r:id="rId4"/>
    <sheet name="Combined" sheetId="5" state="visible" r:id="rId5"/>
    <sheet name="Market" sheetId="6" state="visible" r:id="rId6"/>
    <sheet name="Use of Funds" sheetId="7" state="visible" r:id="rId7"/>
    <sheet name="Sensitivity" sheetId="8" state="visible" r:id="rId8"/>
    <sheet name="Com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;($#,##0);-"/>
    <numFmt numFmtId="165" formatCode="0.0%"/>
    <numFmt numFmtId="166" formatCode="$0.00"/>
    <numFmt numFmtId="167" formatCode="#,##0;(#,##0);-"/>
    <numFmt numFmtId="168" formatCode="$#,##0.00"/>
    <numFmt numFmtId="169" formatCode="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theme="1"/>
      <sz val="11"/>
    </font>
    <font>
      <name val="Arial"/>
      <color rgb="00008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5" fillId="2" borderId="0" pivotButton="0" quotePrefix="0" xfId="0"/>
    <xf numFmtId="0" fontId="7" fillId="2" borderId="0" pivotButton="0" quotePrefix="0" xfId="0"/>
    <xf numFmtId="0" fontId="4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0" fontId="3" fillId="0" borderId="0" pivotButton="0" quotePrefix="0" xfId="0"/>
    <xf numFmtId="0" fontId="6" fillId="3" borderId="0" pivotButton="0" quotePrefix="0" xfId="0"/>
    <xf numFmtId="0" fontId="3" fillId="4" borderId="0" pivotButton="0" quotePrefix="0" xfId="0"/>
    <xf numFmtId="167" fontId="6" fillId="0" borderId="0" pivotButton="0" quotePrefix="0" xfId="0"/>
    <xf numFmtId="167" fontId="4" fillId="3" borderId="0" pivotButton="0" quotePrefix="0" xfId="0"/>
    <xf numFmtId="165" fontId="4" fillId="3" borderId="0" pivotButton="0" quotePrefix="0" xfId="0"/>
    <xf numFmtId="164" fontId="4" fillId="3" borderId="0" pivotButton="0" quotePrefix="0" xfId="0"/>
    <xf numFmtId="0" fontId="7" fillId="4" borderId="0" pivotButton="0" quotePrefix="0" xfId="0"/>
    <xf numFmtId="0" fontId="3" fillId="4" borderId="0" applyAlignment="1" pivotButton="0" quotePrefix="0" xfId="0">
      <alignment horizontal="center"/>
    </xf>
    <xf numFmtId="167" fontId="8" fillId="0" borderId="0" pivotButton="0" quotePrefix="0" xfId="0"/>
    <xf numFmtId="165" fontId="8" fillId="0" borderId="0" pivotButton="0" quotePrefix="0" xfId="0"/>
    <xf numFmtId="164" fontId="8" fillId="0" borderId="0" pivotButton="0" quotePrefix="0" xfId="0"/>
    <xf numFmtId="164" fontId="4" fillId="0" borderId="0" pivotButton="0" quotePrefix="0" xfId="0"/>
    <xf numFmtId="164" fontId="9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167" fontId="9" fillId="0" borderId="0" pivotButton="0" quotePrefix="0" xfId="0"/>
    <xf numFmtId="165" fontId="4" fillId="0" borderId="0" pivotButton="0" quotePrefix="0" xfId="0"/>
    <xf numFmtId="164" fontId="3" fillId="0" borderId="0" pivotButton="0" quotePrefix="0" xfId="0"/>
    <xf numFmtId="169" fontId="8" fillId="0" borderId="0" pivotButton="0" quotePrefix="0" xfId="0"/>
    <xf numFmtId="167" fontId="7" fillId="0" borderId="0" pivotButton="0" quotePrefix="0" xfId="0"/>
    <xf numFmtId="49" fontId="4" fillId="0" borderId="0" pivotButton="0" quotePrefix="0" xfId="0"/>
    <xf numFmtId="164" fontId="6" fillId="3" borderId="0" pivotButton="0" quotePrefix="0" xfId="0"/>
    <xf numFmtId="167" fontId="6" fillId="3" borderId="0" pivotButton="0" quotePrefix="0" xfId="0"/>
    <xf numFmtId="165" fontId="7" fillId="0" borderId="0" pivotButton="0" quotePrefix="0" xfId="0"/>
    <xf numFmtId="169" fontId="6" fillId="0" borderId="0" pivotButton="0" quotePrefix="0" xfId="0"/>
    <xf numFmtId="169" fontId="3" fillId="0" borderId="0" pivotButton="0" quotePrefix="0" xfId="0"/>
    <xf numFmtId="164" fontId="7" fillId="0" borderId="0" pivotButton="0" quotePrefix="0" xfId="0"/>
    <xf numFmtId="164" fontId="2" fillId="0" borderId="0" pivotButton="0" quotePrefix="0" xfId="0"/>
    <xf numFmtId="169" fontId="7" fillId="0" borderId="0" pivotButton="0" quotePrefix="0" xfId="0"/>
    <xf numFmtId="168" fontId="8" fillId="0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theCreative.exchange — 5-year model v2: two tracks, every revenue source, three scenarios</t>
        </is>
      </c>
    </row>
    <row r="2">
      <c r="A2" s="2" t="inlineStr">
        <is>
          <t>Built 2026-09-30 as a fresh look at the 2026-08-28 model (financial-model-3yr.xlsx). Same prices and take rates as claims.md and the plan; new revenue lines are marked PROPOSED.</t>
        </is>
      </c>
    </row>
    <row r="3">
      <c r="A3" s="3" t="inlineStr"/>
    </row>
    <row r="4">
      <c r="A4" s="4" t="inlineStr">
        <is>
          <t>HOW TO USE</t>
        </is>
      </c>
    </row>
    <row r="5">
      <c r="A5" s="5" t="inlineStr">
        <is>
          <t>Blue text = an input you can change. Black = formula. Green = a link to another sheet. Yellow fill = the assumptions that most change the answer.</t>
        </is>
      </c>
    </row>
    <row r="6">
      <c r="A6" s="5" t="inlineStr">
        <is>
          <t>The yellow cell on the Inputs sheet (Scenario switch) drives everything: 1 = Conservative, 2 = Base, 3 = Fundable. Every other sheet follows it.</t>
        </is>
      </c>
    </row>
    <row r="7">
      <c r="A7" s="5" t="inlineStr">
        <is>
          <t>Sheets: Inputs (prices, take rates, scenario drivers) · Garden (track A: the house community) · Exchange (track B: partner communities and B2B) · Combined (revenue by source, costs, cash) · Market (who is out there, and what share the model assumes) · Use of Funds (the raise by function, runway by raise size) · Sensitivity · Comps.</t>
        </is>
      </c>
    </row>
    <row r="8">
      <c r="A8" s="3" t="inlineStr"/>
    </row>
    <row r="9">
      <c r="A9" s="4" t="inlineStr">
        <is>
          <t>WHAT THE FRESH LOOK SAYS</t>
        </is>
      </c>
    </row>
    <row r="10">
      <c r="A10" s="5" t="inlineStr">
        <is>
          <t>1. The old model had one engine: 10% of small flows plus $10 seats, San Diego only. That is a $50–150k/year business at best, and it never pays anyone. The estimates were not too conservative; the model was too narrow.</t>
        </is>
      </c>
    </row>
    <row r="11">
      <c r="A11" s="5" t="inlineStr">
        <is>
          <t>2. Fundability comes from four things the old model left out: (a) B2B seats — churches and organizations buying 10–100 seats a year in one charge; (b) subscriptions from hosts, organizations and gig posters, the SaaS line Skool and Circle live on; (c) a national footprint through the partner networks already mapped (ACFW, Word Weavers, Realm Makers, NCVA, Hope*Writers-sized communities); (d) event ticketing and program-administration fees on flows the platform already carries.</t>
        </is>
      </c>
    </row>
    <row r="12">
      <c r="A12" s="5" t="inlineStr">
        <is>
          <t>3. The Garden alone (track A) is a healthy community business that funds real grants but not a company. The Exchange (track B) is where the company's revenue comes from. Model them separately; pitch them together.</t>
        </is>
      </c>
    </row>
    <row r="13">
      <c r="A13" s="5" t="inlineStr">
        <is>
          <t>4. Results (2026-09-30: franchise metros as explicit drivers, a Base team of four, founder pay inside the functions). Base revenue $36k / $146k / $461k / $1.06M / $2.11M; EBITDA -$192k / -$313k / -$318k / -$3k / +$672k, so breakeven in year four and about $826k of cumulative capital at the low point. Fundable revenue $80k / $363k / $1.38M / $3.89M / $9.29M with 40 metros and a team of 18, EBITDA positive in year four. Conservative: $17k growing to $313k with 5 metros, not profitable in five years. Costs, EBITDA and cash are on the Combined sheet; docs/funding/cfo-memo-ask-and-spend.md carries the discussion.</t>
        </is>
      </c>
    </row>
    <row r="14">
      <c r="A14" s="5" t="inlineStr">
        <is>
          <t>4b. The ask (Use of Funds sheet): an 18-month window at Base, what it spends by function, what it earns, and the net cash need; runway by raise size below it. Founder pay in Base is conditional on a first close of at least $150k and starts the month after it on a ramp ($4k/mo, then $5.5k/mo; $51k each in Y1, $78k in Y2, then $105k / $125k / $140k). Part-time marketing and launch help from month 1 (0.25 FTE, 0.5 in Y2) and part-time coordinator hours; the first full-time employee (community &amp; partnerships lead) starts at month 18; the team is four people from Y3 (2.25 / 3 / 4 / 4 / 4 FTE including founders; Headcount plan on the Use of Funds sheet), with contractors and outsourced bookkeeping instead of engineering, support and ops hires; franchise metros (5 / 20 / 40 by Y5 across the scenarios) run themselves.</t>
        </is>
      </c>
    </row>
    <row r="15">
      <c r="A15" s="5" t="inlineStr">
        <is>
          <t>4c. Founder targets (2026-09-30): at least 3,000 paying INDIVIDUALS by year three, and 5,000-10,000 members once organizations buy seats for their stakeholders. Base meets both (about 5,100 individuals and 7,600 members in Y3, with 6 franchise metros live); Conservative does not (about 1,250 individuals and 1,570 members). Organization-bought seats are about 17% of Y3 Base revenue. Neither target is sourced yet.</t>
        </is>
      </c>
    </row>
    <row r="16">
      <c r="A16" s="5" t="inlineStr">
        <is>
          <t>5. Every year-one number is a bet on partners, not members: churches buying seats, patrons backing named work on Nov 6, and two or three partner communities signing. Year one is partner- and patron-funded in every scenario.</t>
        </is>
      </c>
    </row>
    <row r="17">
      <c r="A17" s="5" t="inlineStr">
        <is>
          <t>4d. Franchise metros (Exchange sheet, rows 16 to 19; every number is a variable): new metros launched per year (cumulative by Y5: Conservative 5, Base 20, Fundable 40), cost to launch a metro ($8k / $12k / $20k, one time), cost to support an active metro ($4k / $6k / $10k a year) and partner communities per active metro (Base: 2 in the launch year rising to 6). A metro costs relationships and some marketing, not staff.</t>
        </is>
      </c>
    </row>
    <row r="18">
      <c r="A18" s="2" t="inlineStr">
        <is>
          <t>VALUES: this file was built with openpyxl and its formulas were evaluated with a Python formula engine (pycel; 1,138 formulas, 0 errors in every scenario) because LibreOffice is not available in the build sandbox. Excel and Google Sheets recalculate every formula on open, so what you see is live.</t>
        </is>
      </c>
    </row>
    <row r="19">
      <c r="A19" s="5" t="inlineStr">
        <is>
          <t>PROPOSED LINES (decide before you show this to anyone): host/org plan at $50/mo (already in the business model doc, not built), partner plan for gig posters at $79/mo (new), 5% fee on event tickets (new; events are built), $25/mo Pro seat (mentioned in the business model doc). None of these is in claims.md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>
      <c r="A1" s="6" t="inlineStr">
        <is>
          <t>Inputs — prices, take rates, costs, scenario drivers</t>
        </is>
      </c>
      <c r="B1" s="7" t="n"/>
      <c r="C1" s="7" t="n"/>
      <c r="D1" s="7" t="n"/>
      <c r="E1" s="7" t="n"/>
      <c r="F1" s="7" t="n"/>
      <c r="G1" s="7" t="n"/>
      <c r="H1" s="7" t="n"/>
    </row>
    <row r="2">
      <c r="A2" s="8" t="inlineStr">
        <is>
          <t>Blue = edit. Sources in column H. Prices verified against claims.md v1 (2026-09-18) and the plan v0.6 unless marked PROPOSED.</t>
        </is>
      </c>
      <c r="B2" s="7" t="n"/>
      <c r="C2" s="7" t="n"/>
      <c r="D2" s="7" t="n"/>
      <c r="E2" s="7" t="n"/>
      <c r="F2" s="7" t="n"/>
      <c r="G2" s="7" t="n"/>
      <c r="H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9" t="inlineStr">
        <is>
          <t>A · Prices and take rates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1" t="inlineStr">
        <is>
          <t>Seat (membership), $/month</t>
        </is>
      </c>
      <c r="B5" s="12" t="n">
        <v>10</v>
      </c>
      <c r="C5" s="7" t="n"/>
      <c r="D5" s="7" t="n"/>
      <c r="E5" s="7" t="n"/>
      <c r="F5" s="7" t="n"/>
      <c r="G5" s="7" t="n"/>
      <c r="H5" s="8" t="inlineStr">
        <is>
          <t>claims.md: Membership is $10 a month</t>
        </is>
      </c>
    </row>
    <row r="6">
      <c r="A6" s="11" t="inlineStr">
        <is>
          <t>Pro seat, $/month (PROPOSED)</t>
        </is>
      </c>
      <c r="B6" s="12" t="n">
        <v>25</v>
      </c>
      <c r="C6" s="7" t="n"/>
      <c r="D6" s="7" t="n"/>
      <c r="E6" s="7" t="n"/>
      <c r="F6" s="7" t="n"/>
      <c r="G6" s="7" t="n"/>
      <c r="H6" s="8" t="inlineStr">
        <is>
          <t>Business Model doc: '$25 runs several projects at once'. Not in claims.md.</t>
        </is>
      </c>
    </row>
    <row r="7">
      <c r="A7" s="11" t="inlineStr">
        <is>
          <t>Annual billing discount (10 months for 12)</t>
        </is>
      </c>
      <c r="B7" s="13" t="n">
        <v>0.1667</v>
      </c>
      <c r="C7" s="7" t="n"/>
      <c r="D7" s="7" t="n"/>
      <c r="E7" s="7" t="n"/>
      <c r="F7" s="7" t="n"/>
      <c r="G7" s="7" t="n"/>
      <c r="H7" s="8" t="inlineStr">
        <is>
          <t>Two months free on annual; Business Model §03</t>
        </is>
      </c>
    </row>
    <row r="8">
      <c r="A8" s="11" t="inlineStr">
        <is>
          <t>Garden dues: share to the grant program</t>
        </is>
      </c>
      <c r="B8" s="13" t="n">
        <v>0.5</v>
      </c>
      <c r="C8" s="7" t="n"/>
      <c r="D8" s="7" t="n"/>
      <c r="E8" s="7" t="n"/>
      <c r="F8" s="7" t="n"/>
      <c r="G8" s="7" t="n"/>
      <c r="H8" s="8" t="inlineStr">
        <is>
          <t>claims.md: 'Half of your membership funds grants for other creatives'</t>
        </is>
      </c>
    </row>
    <row r="9">
      <c r="A9" s="11" t="inlineStr">
        <is>
          <t>Garden dues: share kept by the platform (house community)</t>
        </is>
      </c>
      <c r="B9" s="13" t="n">
        <v>0.5</v>
      </c>
      <c r="C9" s="7" t="n"/>
      <c r="D9" s="7" t="n"/>
      <c r="E9" s="7" t="n"/>
      <c r="F9" s="7" t="n"/>
      <c r="G9" s="7" t="n"/>
      <c r="H9" s="8" t="inlineStr">
        <is>
          <t>claims.md 'dues, other half': today the code sends all of it to the platform; Garden community work is paid hourly from it (cost line below)</t>
        </is>
      </c>
    </row>
    <row r="10">
      <c r="A10" s="11" t="inlineStr">
        <is>
          <t>Partner-community dues: platform take</t>
        </is>
      </c>
      <c r="B10" s="13" t="n">
        <v>0.1</v>
      </c>
      <c r="C10" s="7" t="n"/>
      <c r="D10" s="7" t="n"/>
      <c r="E10" s="7" t="n"/>
      <c r="F10" s="7" t="n"/>
      <c r="G10" s="7" t="n"/>
      <c r="H10" s="8" t="inlineStr">
        <is>
          <t>Plan v0.6: 10% platform; 90% belongs to the community</t>
        </is>
      </c>
    </row>
    <row r="11">
      <c r="A11" s="11" t="inlineStr">
        <is>
          <t>Backings: platform take</t>
        </is>
      </c>
      <c r="B11" s="13" t="n">
        <v>0.1</v>
      </c>
      <c r="C11" s="7" t="n"/>
      <c r="D11" s="7" t="n"/>
      <c r="E11" s="7" t="n"/>
      <c r="F11" s="7" t="n"/>
      <c r="G11" s="7" t="n"/>
      <c r="H11" s="8" t="inlineStr">
        <is>
          <t>claims.md: $100 → $90 to the creative (5% above $1,000 ignored here)</t>
        </is>
      </c>
    </row>
    <row r="12">
      <c r="A12" s="11" t="inlineStr">
        <is>
          <t>Classes and premium: platform take</t>
        </is>
      </c>
      <c r="B12" s="13" t="n">
        <v>0.1</v>
      </c>
      <c r="C12" s="7" t="n"/>
      <c r="D12" s="7" t="n"/>
      <c r="E12" s="7" t="n"/>
      <c r="F12" s="7" t="n"/>
      <c r="G12" s="7" t="n"/>
      <c r="H12" s="8" t="inlineStr">
        <is>
          <t>claims.md host split: hosts keep 90%</t>
        </is>
      </c>
    </row>
    <row r="13">
      <c r="A13" s="11" t="inlineStr">
        <is>
          <t>Gifts to a nonprofit-run program: platform fee</t>
        </is>
      </c>
      <c r="B13" s="13" t="n">
        <v>0.05</v>
      </c>
      <c r="C13" s="7" t="n"/>
      <c r="D13" s="7" t="n"/>
      <c r="E13" s="7" t="n"/>
      <c r="F13" s="7" t="n"/>
      <c r="G13" s="7" t="n"/>
      <c r="H13" s="8" t="inlineStr">
        <is>
          <t>Business Model §02: 5% platform, 5% program administration (AP), ~87–90% to creatives</t>
        </is>
      </c>
    </row>
    <row r="14">
      <c r="A14" s="11" t="inlineStr">
        <is>
          <t>Event tickets: platform fee (PROPOSED)</t>
        </is>
      </c>
      <c r="B14" s="13" t="n">
        <v>0.05</v>
      </c>
      <c r="C14" s="7" t="n"/>
      <c r="D14" s="7" t="n"/>
      <c r="E14" s="7" t="n"/>
      <c r="F14" s="7" t="n"/>
      <c r="G14" s="7" t="n"/>
      <c r="H14" s="8" t="inlineStr">
        <is>
          <t>Events and ticketing are built; Eventbrite charges 3.7% + $1.79. Not in claims.md.</t>
        </is>
      </c>
    </row>
    <row r="15">
      <c r="A15" s="11" t="inlineStr">
        <is>
          <t>Host / organization plan, $/month (PROPOSED)</t>
        </is>
      </c>
      <c r="B15" s="12" t="n">
        <v>50</v>
      </c>
      <c r="C15" s="7" t="n"/>
      <c r="D15" s="7" t="n"/>
      <c r="E15" s="7" t="n"/>
      <c r="F15" s="7" t="n"/>
      <c r="G15" s="7" t="n"/>
      <c r="H15" s="8" t="inlineStr">
        <is>
          <t>Business Model §01 'Leader tier': run funding programs, contests, cohorts. Not built.</t>
        </is>
      </c>
    </row>
    <row r="16">
      <c r="A16" s="11" t="inlineStr">
        <is>
          <t>Partner plan for gig posters, $/month (PROPOSED)</t>
        </is>
      </c>
      <c r="B16" s="12" t="n">
        <v>79</v>
      </c>
      <c r="C16" s="7" t="n"/>
      <c r="D16" s="7" t="n"/>
      <c r="E16" s="7" t="n"/>
      <c r="F16" s="7" t="n"/>
      <c r="G16" s="7" t="n"/>
      <c r="H16" s="8" t="inlineStr">
        <is>
          <t>Churches, businesses and nonprofits posting paid work. Comparable: job boards $99–$299/post.</t>
        </is>
      </c>
    </row>
    <row r="17">
      <c r="A17" s="11" t="inlineStr">
        <is>
          <t>Church / org seat pack, $/seat/year</t>
        </is>
      </c>
      <c r="B17" s="12" t="n">
        <v>100</v>
      </c>
      <c r="C17" s="7" t="n"/>
      <c r="D17" s="7" t="n"/>
      <c r="E17" s="7" t="n"/>
      <c r="F17" s="7" t="n"/>
      <c r="G17" s="7" t="n"/>
      <c r="H17" s="8" t="inlineStr">
        <is>
          <t>Business Model §03: ten seats for a year is one $1,000 charge</t>
        </is>
      </c>
    </row>
    <row r="18">
      <c r="A18" s="11" t="inlineStr">
        <is>
          <t>Sponsorship, average $/year</t>
        </is>
      </c>
      <c r="B18" s="12" t="n">
        <v>5000</v>
      </c>
      <c r="C18" s="7" t="n"/>
      <c r="D18" s="7" t="n"/>
      <c r="E18" s="7" t="n"/>
      <c r="F18" s="7" t="n"/>
      <c r="G18" s="7" t="n"/>
      <c r="H18" s="8" t="inlineStr">
        <is>
          <t>Business Model §02: $100/mo, $5k/yr, $25k/yr tiers</t>
        </is>
      </c>
    </row>
    <row r="19">
      <c r="A19" s="11" t="inlineStr">
        <is>
          <t>Card fee, percent</t>
        </is>
      </c>
      <c r="B19" s="13" t="n">
        <v>0.029</v>
      </c>
      <c r="C19" s="7" t="n"/>
      <c r="D19" s="7" t="n"/>
      <c r="E19" s="7" t="n"/>
      <c r="F19" s="7" t="n"/>
      <c r="G19" s="7" t="n"/>
      <c r="H19" s="8" t="inlineStr">
        <is>
          <t>stripe.com/pricing</t>
        </is>
      </c>
    </row>
    <row r="20">
      <c r="A20" s="11" t="inlineStr">
        <is>
          <t>Card fee, fixed $/charge</t>
        </is>
      </c>
      <c r="B20" s="14" t="n">
        <v>0.3</v>
      </c>
      <c r="C20" s="7" t="n"/>
      <c r="D20" s="7" t="n"/>
      <c r="E20" s="7" t="n"/>
      <c r="F20" s="7" t="n"/>
      <c r="G20" s="7" t="n"/>
      <c r="H20" s="8" t="inlineStr">
        <is>
          <t>stripe.com/pricing</t>
        </is>
      </c>
    </row>
    <row r="21">
      <c r="A21" s="11" t="inlineStr">
        <is>
          <t>Share of dues billed monthly (rest annual)</t>
        </is>
      </c>
      <c r="B21" s="13" t="n">
        <v>0.6</v>
      </c>
      <c r="C21" s="7" t="n"/>
      <c r="D21" s="7" t="n"/>
      <c r="E21" s="7" t="n"/>
      <c r="F21" s="7" t="n"/>
      <c r="G21" s="7" t="n"/>
      <c r="H21" s="8" t="inlineStr">
        <is>
          <t>Assumption; annual halves processing on dues</t>
        </is>
      </c>
    </row>
    <row r="22">
      <c r="A22" s="11" t="inlineStr">
        <is>
          <t>Payout cost, % of money paid out (Connect)</t>
        </is>
      </c>
      <c r="B22" s="13" t="n">
        <v>0.01</v>
      </c>
      <c r="C22" s="7" t="n"/>
      <c r="D22" s="7" t="n"/>
      <c r="E22" s="7" t="n"/>
      <c r="F22" s="7" t="n"/>
      <c r="G22" s="7" t="n"/>
      <c r="H22" s="8" t="inlineStr">
        <is>
          <t>Stripe Connect: $0.25 + 0.25%/payout + $2/active account/mo; ~1% of payouts at small sizes</t>
        </is>
      </c>
    </row>
    <row r="23">
      <c r="A23" s="11" t="inlineStr">
        <is>
          <t>Salary, programs &amp; community hire, $/year</t>
        </is>
      </c>
      <c r="B23" s="12" t="n">
        <v>65000</v>
      </c>
      <c r="C23" s="7" t="n"/>
      <c r="D23" s="7" t="n"/>
      <c r="E23" s="7" t="n"/>
      <c r="F23" s="7" t="n"/>
      <c r="G23" s="7" t="n"/>
      <c r="H23" s="8" t="inlineStr">
        <is>
          <t>San Diego community manager / program manager; loaded via payroll load below</t>
        </is>
      </c>
    </row>
    <row r="24">
      <c r="A24" s="11" t="inlineStr">
        <is>
          <t>Salary, member support hire, $/year</t>
        </is>
      </c>
      <c r="B24" s="12" t="n">
        <v>55000</v>
      </c>
      <c r="C24" s="7" t="n"/>
      <c r="D24" s="7" t="n"/>
      <c r="E24" s="7" t="n"/>
      <c r="F24" s="7" t="n"/>
      <c r="G24" s="7" t="n"/>
      <c r="H24" s="8" t="inlineStr">
        <is>
          <t>support and onboarding; part-time before Y2</t>
        </is>
      </c>
    </row>
    <row r="25">
      <c r="A25" s="11" t="inlineStr">
        <is>
          <t>Salary, marketing hire, $/year</t>
        </is>
      </c>
      <c r="B25" s="12" t="n">
        <v>75000</v>
      </c>
      <c r="C25" s="7" t="n"/>
      <c r="D25" s="7" t="n"/>
      <c r="E25" s="7" t="n"/>
      <c r="F25" s="7" t="n"/>
      <c r="G25" s="7" t="n"/>
      <c r="H25" s="8" t="inlineStr">
        <is>
          <t>content and partnerships marketer</t>
        </is>
      </c>
    </row>
    <row r="26">
      <c r="A26" s="11" t="inlineStr">
        <is>
          <t>Salary, engineering hire, $/year</t>
        </is>
      </c>
      <c r="B26" s="12" t="n">
        <v>130000</v>
      </c>
      <c r="C26" s="7" t="n"/>
      <c r="D26" s="7" t="n"/>
      <c r="E26" s="7" t="n"/>
      <c r="F26" s="7" t="n"/>
      <c r="G26" s="7" t="n"/>
      <c r="H26" s="8" t="inlineStr">
        <is>
          <t>San Diego mid-level engineer; founder covers engineering until Y3</t>
        </is>
      </c>
    </row>
    <row r="27">
      <c r="A27" s="11" t="inlineStr">
        <is>
          <t>Salary, operations / finance hire, $/year</t>
        </is>
      </c>
      <c r="B27" s="12" t="n">
        <v>70000</v>
      </c>
      <c r="C27" s="7" t="n"/>
      <c r="D27" s="7" t="n"/>
      <c r="E27" s="7" t="n"/>
      <c r="F27" s="7" t="n"/>
      <c r="G27" s="7" t="n"/>
      <c r="H27" s="8" t="inlineStr">
        <is>
          <t>ops, finance, compliance</t>
        </is>
      </c>
    </row>
    <row r="28">
      <c r="A28" s="11" t="inlineStr">
        <is>
          <t>Founder market salary, $/year (each)</t>
        </is>
      </c>
      <c r="B28" s="12" t="n">
        <v>175000</v>
      </c>
      <c r="C28" s="7" t="n"/>
      <c r="D28" s="7" t="n"/>
      <c r="E28" s="7" t="n"/>
      <c r="F28" s="7" t="n"/>
      <c r="G28" s="7" t="n"/>
      <c r="H28" s="8" t="inlineStr">
        <is>
          <t>Business Model §05: $175–240k for the seat; used for the founder-pay gap</t>
        </is>
      </c>
    </row>
    <row r="29">
      <c r="A29" s="15" t="inlineStr">
        <is>
          <t>Scenario switch: 1 = Conservative · 2 = Base · 3 = Fundable</t>
        </is>
      </c>
      <c r="B29" s="16" t="n">
        <v>2</v>
      </c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9" t="inlineStr">
        <is>
          <t>B · Scenario drivers (Conservative / Base / Fundable; the Active row follows the switch)</t>
        </is>
      </c>
      <c r="B31" s="10" t="n"/>
      <c r="C31" s="10" t="n"/>
      <c r="D31" s="10" t="n"/>
      <c r="E31" s="10" t="n"/>
      <c r="F31" s="10" t="n"/>
      <c r="G31" s="10" t="n"/>
      <c r="H31" s="10" t="n"/>
    </row>
    <row r="32">
      <c r="A32" s="17" t="inlineStr">
        <is>
          <t>Driver</t>
        </is>
      </c>
      <c r="B32" s="17" t="inlineStr">
        <is>
          <t>Scenario</t>
        </is>
      </c>
      <c r="C32" s="17" t="inlineStr">
        <is>
          <t>Y1 (Nov26–Oct27)</t>
        </is>
      </c>
      <c r="D32" s="17" t="inlineStr">
        <is>
          <t>Y2</t>
        </is>
      </c>
      <c r="E32" s="17" t="inlineStr">
        <is>
          <t>Y3</t>
        </is>
      </c>
      <c r="F32" s="17" t="inlineStr">
        <is>
          <t>Y4</t>
        </is>
      </c>
      <c r="G32" s="17" t="inlineStr">
        <is>
          <t>Y5</t>
        </is>
      </c>
      <c r="H32" s="17" t="inlineStr">
        <is>
          <t>Note</t>
        </is>
      </c>
    </row>
    <row r="33">
      <c r="A33" s="15" t="inlineStr">
        <is>
          <t>TRACK A — THE GARDEN (house community: San Diego first, then Garden chapters in other metros)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11" t="inlineStr">
        <is>
          <t>Paying individual members, average active</t>
        </is>
      </c>
      <c r="B34" s="8" t="inlineStr">
        <is>
          <t>Conservative</t>
        </is>
      </c>
      <c r="C34" s="18" t="n">
        <v>100</v>
      </c>
      <c r="D34" s="18" t="n">
        <v>250</v>
      </c>
      <c r="E34" s="18" t="n">
        <v>450</v>
      </c>
      <c r="F34" s="18" t="n">
        <v>650</v>
      </c>
      <c r="G34" s="18" t="n">
        <v>850</v>
      </c>
      <c r="H34" s="8" t="inlineStr">
        <is>
          <t>Old model M: 400/1,500/4,500 total members; here the Garden alone. Market!B-column shows what share of San Diego creatives this is.</t>
        </is>
      </c>
    </row>
    <row r="35">
      <c r="A35" s="11" t="inlineStr"/>
      <c r="B35" s="8" t="inlineStr">
        <is>
          <t>Base</t>
        </is>
      </c>
      <c r="C35" s="18" t="n">
        <v>150</v>
      </c>
      <c r="D35" s="18" t="n">
        <v>400</v>
      </c>
      <c r="E35" s="18" t="n">
        <v>800</v>
      </c>
      <c r="F35" s="18" t="n">
        <v>1200</v>
      </c>
      <c r="G35" s="18" t="n">
        <v>1600</v>
      </c>
      <c r="H35" s="7" t="n"/>
    </row>
    <row r="36">
      <c r="A36" s="11" t="inlineStr"/>
      <c r="B36" s="8" t="inlineStr">
        <is>
          <t>Fundable</t>
        </is>
      </c>
      <c r="C36" s="18" t="n">
        <v>250</v>
      </c>
      <c r="D36" s="18" t="n">
        <v>700</v>
      </c>
      <c r="E36" s="18" t="n">
        <v>1500</v>
      </c>
      <c r="F36" s="18" t="n">
        <v>2500</v>
      </c>
      <c r="G36" s="18" t="n">
        <v>3500</v>
      </c>
      <c r="H36" s="7" t="n"/>
    </row>
    <row r="37">
      <c r="A37" s="7" t="n"/>
      <c r="B37" s="15" t="inlineStr">
        <is>
          <t>Active</t>
        </is>
      </c>
      <c r="C37" s="19">
        <f>CHOOSE(Inputs!$B$29,C34,C35,C36)</f>
        <v>150</v>
      </c>
      <c r="D37" s="19">
        <f>CHOOSE(Inputs!$B$29,D34,D35,D36)</f>
        <v>400</v>
      </c>
      <c r="E37" s="19">
        <f>CHOOSE(Inputs!$B$29,E34,E35,E36)</f>
        <v>800</v>
      </c>
      <c r="F37" s="19">
        <f>CHOOSE(Inputs!$B$29,F34,F35,F36)</f>
        <v>1200</v>
      </c>
      <c r="G37" s="19">
        <f>CHOOSE(Inputs!$B$29,G34,G35,G36)</f>
        <v>1600</v>
      </c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11" t="inlineStr">
        <is>
          <t>Church-covered seats, average active</t>
        </is>
      </c>
      <c r="B39" s="8" t="inlineStr">
        <is>
          <t>Conservative</t>
        </is>
      </c>
      <c r="C39" s="18" t="n">
        <v>20</v>
      </c>
      <c r="D39" s="18" t="n">
        <v>60</v>
      </c>
      <c r="E39" s="18" t="n">
        <v>120</v>
      </c>
      <c r="F39" s="18" t="n">
        <v>200</v>
      </c>
      <c r="G39" s="18" t="n">
        <v>300</v>
      </c>
      <c r="H39" s="8" t="inlineStr">
        <is>
          <t>Ten seats per church; Base Y3 = 50 churches. San Diego County has about 1,555 reporting congregations (Market sheet).</t>
        </is>
      </c>
    </row>
    <row r="40">
      <c r="A40" s="11" t="inlineStr"/>
      <c r="B40" s="8" t="inlineStr">
        <is>
          <t>Base</t>
        </is>
      </c>
      <c r="C40" s="18" t="n">
        <v>50</v>
      </c>
      <c r="D40" s="18" t="n">
        <v>200</v>
      </c>
      <c r="E40" s="18" t="n">
        <v>500</v>
      </c>
      <c r="F40" s="18" t="n">
        <v>900</v>
      </c>
      <c r="G40" s="18" t="n">
        <v>1400</v>
      </c>
      <c r="H40" s="7" t="n"/>
    </row>
    <row r="41">
      <c r="A41" s="11" t="inlineStr"/>
      <c r="B41" s="8" t="inlineStr">
        <is>
          <t>Fundable</t>
        </is>
      </c>
      <c r="C41" s="18" t="n">
        <v>100</v>
      </c>
      <c r="D41" s="18" t="n">
        <v>500</v>
      </c>
      <c r="E41" s="18" t="n">
        <v>1500</v>
      </c>
      <c r="F41" s="18" t="n">
        <v>3000</v>
      </c>
      <c r="G41" s="18" t="n">
        <v>5000</v>
      </c>
      <c r="H41" s="7" t="n"/>
    </row>
    <row r="42">
      <c r="A42" s="7" t="n"/>
      <c r="B42" s="15" t="inlineStr">
        <is>
          <t>Active</t>
        </is>
      </c>
      <c r="C42" s="19">
        <f>CHOOSE(Inputs!$B$29,C39,C40,C41)</f>
        <v>50</v>
      </c>
      <c r="D42" s="19">
        <f>CHOOSE(Inputs!$B$29,D39,D40,D41)</f>
        <v>200</v>
      </c>
      <c r="E42" s="19">
        <f>CHOOSE(Inputs!$B$29,E39,E40,E41)</f>
        <v>500</v>
      </c>
      <c r="F42" s="19">
        <f>CHOOSE(Inputs!$B$29,F39,F40,F41)</f>
        <v>900</v>
      </c>
      <c r="G42" s="19">
        <f>CHOOSE(Inputs!$B$29,G39,G40,G41)</f>
        <v>1400</v>
      </c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11" t="inlineStr">
        <is>
          <t>Share of individual members on the Pro seat</t>
        </is>
      </c>
      <c r="B44" s="8" t="inlineStr">
        <is>
          <t>Conservative</t>
        </is>
      </c>
      <c r="C44" s="13" t="n">
        <v>0</v>
      </c>
      <c r="D44" s="13" t="n">
        <v>0.05</v>
      </c>
      <c r="E44" s="13" t="n">
        <v>0.08</v>
      </c>
      <c r="F44" s="13" t="n">
        <v>0.1</v>
      </c>
      <c r="G44" s="13" t="n">
        <v>0.1</v>
      </c>
      <c r="H44" s="8" t="inlineStr">
        <is>
          <t>PROPOSED $25 seat</t>
        </is>
      </c>
    </row>
    <row r="45">
      <c r="A45" s="11" t="inlineStr"/>
      <c r="B45" s="8" t="inlineStr">
        <is>
          <t>Base</t>
        </is>
      </c>
      <c r="C45" s="13" t="n">
        <v>0.05</v>
      </c>
      <c r="D45" s="13" t="n">
        <v>0.1</v>
      </c>
      <c r="E45" s="13" t="n">
        <v>0.15</v>
      </c>
      <c r="F45" s="13" t="n">
        <v>0.2</v>
      </c>
      <c r="G45" s="13" t="n">
        <v>0.2</v>
      </c>
      <c r="H45" s="7" t="n"/>
    </row>
    <row r="46">
      <c r="A46" s="11" t="inlineStr"/>
      <c r="B46" s="8" t="inlineStr">
        <is>
          <t>Fundable</t>
        </is>
      </c>
      <c r="C46" s="13" t="n">
        <v>0.1</v>
      </c>
      <c r="D46" s="13" t="n">
        <v>0.15</v>
      </c>
      <c r="E46" s="13" t="n">
        <v>0.2</v>
      </c>
      <c r="F46" s="13" t="n">
        <v>0.25</v>
      </c>
      <c r="G46" s="13" t="n">
        <v>0.25</v>
      </c>
      <c r="H46" s="7" t="n"/>
    </row>
    <row r="47">
      <c r="A47" s="7" t="n"/>
      <c r="B47" s="15" t="inlineStr">
        <is>
          <t>Active</t>
        </is>
      </c>
      <c r="C47" s="20">
        <f>CHOOSE(Inputs!$B$29,C44,C45,C46)</f>
        <v>0.05</v>
      </c>
      <c r="D47" s="20">
        <f>CHOOSE(Inputs!$B$29,D44,D45,D46)</f>
        <v>0.1</v>
      </c>
      <c r="E47" s="20">
        <f>CHOOSE(Inputs!$B$29,E44,E45,E46)</f>
        <v>0.15</v>
      </c>
      <c r="F47" s="20">
        <f>CHOOSE(Inputs!$B$29,F44,F45,F46)</f>
        <v>0.2</v>
      </c>
      <c r="G47" s="20">
        <f>CHOOSE(Inputs!$B$29,G44,G45,G46)</f>
        <v>0.2</v>
      </c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11" t="inlineStr">
        <is>
          <t>Backing GMV per paying member per year, $</t>
        </is>
      </c>
      <c r="B49" s="8" t="inlineStr">
        <is>
          <t>Conservative</t>
        </is>
      </c>
      <c r="C49" s="12" t="n">
        <v>40</v>
      </c>
      <c r="D49" s="12" t="n">
        <v>50</v>
      </c>
      <c r="E49" s="12" t="n">
        <v>60</v>
      </c>
      <c r="F49" s="12" t="n">
        <v>70</v>
      </c>
      <c r="G49" s="12" t="n">
        <v>80</v>
      </c>
      <c r="H49" s="8" t="inlineStr">
        <is>
          <t>Old model: $60–300 'other money moved'. Patreon average pledge is ~$5–10/mo per patron (Comps).</t>
        </is>
      </c>
    </row>
    <row r="50">
      <c r="A50" s="11" t="inlineStr"/>
      <c r="B50" s="8" t="inlineStr">
        <is>
          <t>Base</t>
        </is>
      </c>
      <c r="C50" s="12" t="n">
        <v>75</v>
      </c>
      <c r="D50" s="12" t="n">
        <v>100</v>
      </c>
      <c r="E50" s="12" t="n">
        <v>125</v>
      </c>
      <c r="F50" s="12" t="n">
        <v>150</v>
      </c>
      <c r="G50" s="12" t="n">
        <v>175</v>
      </c>
      <c r="H50" s="7" t="n"/>
    </row>
    <row r="51">
      <c r="A51" s="11" t="inlineStr"/>
      <c r="B51" s="8" t="inlineStr">
        <is>
          <t>Fundable</t>
        </is>
      </c>
      <c r="C51" s="12" t="n">
        <v>100</v>
      </c>
      <c r="D51" s="12" t="n">
        <v>150</v>
      </c>
      <c r="E51" s="12" t="n">
        <v>200</v>
      </c>
      <c r="F51" s="12" t="n">
        <v>250</v>
      </c>
      <c r="G51" s="12" t="n">
        <v>300</v>
      </c>
      <c r="H51" s="7" t="n"/>
    </row>
    <row r="52">
      <c r="A52" s="7" t="n"/>
      <c r="B52" s="15" t="inlineStr">
        <is>
          <t>Active</t>
        </is>
      </c>
      <c r="C52" s="21">
        <f>CHOOSE(Inputs!$B$29,C49,C50,C51)</f>
        <v>75</v>
      </c>
      <c r="D52" s="21">
        <f>CHOOSE(Inputs!$B$29,D49,D50,D51)</f>
        <v>100</v>
      </c>
      <c r="E52" s="21">
        <f>CHOOSE(Inputs!$B$29,E49,E50,E51)</f>
        <v>125</v>
      </c>
      <c r="F52" s="21">
        <f>CHOOSE(Inputs!$B$29,F49,F50,F51)</f>
        <v>150</v>
      </c>
      <c r="G52" s="21">
        <f>CHOOSE(Inputs!$B$29,G49,G50,G51)</f>
        <v>175</v>
      </c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11" t="inlineStr">
        <is>
          <t>Class and premium GMV per paying member per year, $</t>
        </is>
      </c>
      <c r="B54" s="8" t="inlineStr">
        <is>
          <t>Conservative</t>
        </is>
      </c>
      <c r="C54" s="12" t="n">
        <v>30</v>
      </c>
      <c r="D54" s="12" t="n">
        <v>40</v>
      </c>
      <c r="E54" s="12" t="n">
        <v>50</v>
      </c>
      <c r="F54" s="12" t="n">
        <v>60</v>
      </c>
      <c r="G54" s="12" t="n">
        <v>70</v>
      </c>
      <c r="H54" s="8" t="inlineStr">
        <is>
          <t>A $120 cohort and a $5/mo premium reach $140/yr</t>
        </is>
      </c>
    </row>
    <row r="55">
      <c r="A55" s="11" t="inlineStr"/>
      <c r="B55" s="8" t="inlineStr">
        <is>
          <t>Base</t>
        </is>
      </c>
      <c r="C55" s="12" t="n">
        <v>60</v>
      </c>
      <c r="D55" s="12" t="n">
        <v>80</v>
      </c>
      <c r="E55" s="12" t="n">
        <v>100</v>
      </c>
      <c r="F55" s="12" t="n">
        <v>120</v>
      </c>
      <c r="G55" s="12" t="n">
        <v>140</v>
      </c>
      <c r="H55" s="7" t="n"/>
    </row>
    <row r="56">
      <c r="A56" s="11" t="inlineStr"/>
      <c r="B56" s="8" t="inlineStr">
        <is>
          <t>Fundable</t>
        </is>
      </c>
      <c r="C56" s="12" t="n">
        <v>80</v>
      </c>
      <c r="D56" s="12" t="n">
        <v>110</v>
      </c>
      <c r="E56" s="12" t="n">
        <v>140</v>
      </c>
      <c r="F56" s="12" t="n">
        <v>170</v>
      </c>
      <c r="G56" s="12" t="n">
        <v>200</v>
      </c>
      <c r="H56" s="7" t="n"/>
    </row>
    <row r="57">
      <c r="A57" s="7" t="n"/>
      <c r="B57" s="15" t="inlineStr">
        <is>
          <t>Active</t>
        </is>
      </c>
      <c r="C57" s="21">
        <f>CHOOSE(Inputs!$B$29,C54,C55,C56)</f>
        <v>60</v>
      </c>
      <c r="D57" s="21">
        <f>CHOOSE(Inputs!$B$29,D54,D55,D56)</f>
        <v>80</v>
      </c>
      <c r="E57" s="21">
        <f>CHOOSE(Inputs!$B$29,E54,E55,E56)</f>
        <v>100</v>
      </c>
      <c r="F57" s="21">
        <f>CHOOSE(Inputs!$B$29,F54,F55,F56)</f>
        <v>120</v>
      </c>
      <c r="G57" s="21">
        <f>CHOOSE(Inputs!$B$29,G54,G55,G56)</f>
        <v>140</v>
      </c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11" t="inlineStr">
        <is>
          <t>Gifts to the Garden's nonprofit-run program (via AP), $/year</t>
        </is>
      </c>
      <c r="B59" s="8" t="inlineStr">
        <is>
          <t>Conservative</t>
        </is>
      </c>
      <c r="C59" s="12" t="n">
        <v>10000</v>
      </c>
      <c r="D59" s="12" t="n">
        <v>25000</v>
      </c>
      <c r="E59" s="12" t="n">
        <v>40000</v>
      </c>
      <c r="F59" s="12" t="n">
        <v>60000</v>
      </c>
      <c r="G59" s="12" t="n">
        <v>80000</v>
      </c>
      <c r="H59" s="8" t="inlineStr">
        <is>
          <t>Nov 6 is a ticketed benefit for the program; foundations fund managed programs, not regranting</t>
        </is>
      </c>
    </row>
    <row r="60">
      <c r="A60" s="11" t="inlineStr"/>
      <c r="B60" s="8" t="inlineStr">
        <is>
          <t>Base</t>
        </is>
      </c>
      <c r="C60" s="12" t="n">
        <v>25000</v>
      </c>
      <c r="D60" s="12" t="n">
        <v>60000</v>
      </c>
      <c r="E60" s="12" t="n">
        <v>120000</v>
      </c>
      <c r="F60" s="12" t="n">
        <v>200000</v>
      </c>
      <c r="G60" s="12" t="n">
        <v>300000</v>
      </c>
      <c r="H60" s="7" t="n"/>
    </row>
    <row r="61">
      <c r="A61" s="11" t="inlineStr"/>
      <c r="B61" s="8" t="inlineStr">
        <is>
          <t>Fundable</t>
        </is>
      </c>
      <c r="C61" s="12" t="n">
        <v>50000</v>
      </c>
      <c r="D61" s="12" t="n">
        <v>120000</v>
      </c>
      <c r="E61" s="12" t="n">
        <v>250000</v>
      </c>
      <c r="F61" s="12" t="n">
        <v>450000</v>
      </c>
      <c r="G61" s="12" t="n">
        <v>700000</v>
      </c>
      <c r="H61" s="7" t="n"/>
    </row>
    <row r="62">
      <c r="A62" s="7" t="n"/>
      <c r="B62" s="15" t="inlineStr">
        <is>
          <t>Active</t>
        </is>
      </c>
      <c r="C62" s="21">
        <f>CHOOSE(Inputs!$B$29,C59,C60,C61)</f>
        <v>25000</v>
      </c>
      <c r="D62" s="21">
        <f>CHOOSE(Inputs!$B$29,D59,D60,D61)</f>
        <v>60000</v>
      </c>
      <c r="E62" s="21">
        <f>CHOOSE(Inputs!$B$29,E59,E60,E61)</f>
        <v>120000</v>
      </c>
      <c r="F62" s="21">
        <f>CHOOSE(Inputs!$B$29,F59,F60,F61)</f>
        <v>200000</v>
      </c>
      <c r="G62" s="21">
        <f>CHOOSE(Inputs!$B$29,G59,G60,G61)</f>
        <v>300000</v>
      </c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1" t="inlineStr">
        <is>
          <t>Event ticket GMV, $/year</t>
        </is>
      </c>
      <c r="B64" s="8" t="inlineStr">
        <is>
          <t>Conservative</t>
        </is>
      </c>
      <c r="C64" s="12" t="n">
        <v>8000</v>
      </c>
      <c r="D64" s="12" t="n">
        <v>15000</v>
      </c>
      <c r="E64" s="12" t="n">
        <v>25000</v>
      </c>
      <c r="F64" s="12" t="n">
        <v>35000</v>
      </c>
      <c r="G64" s="12" t="n">
        <v>45000</v>
      </c>
      <c r="H64" s="8" t="inlineStr">
        <is>
          <t>PROPOSED 5% fee</t>
        </is>
      </c>
    </row>
    <row r="65">
      <c r="A65" s="11" t="inlineStr"/>
      <c r="B65" s="8" t="inlineStr">
        <is>
          <t>Base</t>
        </is>
      </c>
      <c r="C65" s="12" t="n">
        <v>15000</v>
      </c>
      <c r="D65" s="12" t="n">
        <v>30000</v>
      </c>
      <c r="E65" s="12" t="n">
        <v>50000</v>
      </c>
      <c r="F65" s="12" t="n">
        <v>75000</v>
      </c>
      <c r="G65" s="12" t="n">
        <v>100000</v>
      </c>
      <c r="H65" s="7" t="n"/>
    </row>
    <row r="66">
      <c r="A66" s="11" t="inlineStr"/>
      <c r="B66" s="8" t="inlineStr">
        <is>
          <t>Fundable</t>
        </is>
      </c>
      <c r="C66" s="12" t="n">
        <v>25000</v>
      </c>
      <c r="D66" s="12" t="n">
        <v>60000</v>
      </c>
      <c r="E66" s="12" t="n">
        <v>120000</v>
      </c>
      <c r="F66" s="12" t="n">
        <v>200000</v>
      </c>
      <c r="G66" s="12" t="n">
        <v>300000</v>
      </c>
      <c r="H66" s="7" t="n"/>
    </row>
    <row r="67">
      <c r="A67" s="7" t="n"/>
      <c r="B67" s="15" t="inlineStr">
        <is>
          <t>Active</t>
        </is>
      </c>
      <c r="C67" s="21">
        <f>CHOOSE(Inputs!$B$29,C64,C65,C66)</f>
        <v>15000</v>
      </c>
      <c r="D67" s="21">
        <f>CHOOSE(Inputs!$B$29,D64,D65,D66)</f>
        <v>30000</v>
      </c>
      <c r="E67" s="21">
        <f>CHOOSE(Inputs!$B$29,E64,E65,E66)</f>
        <v>50000</v>
      </c>
      <c r="F67" s="21">
        <f>CHOOSE(Inputs!$B$29,F64,F65,F66)</f>
        <v>75000</v>
      </c>
      <c r="G67" s="21">
        <f>CHOOSE(Inputs!$B$29,G64,G65,G66)</f>
        <v>100000</v>
      </c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11" t="inlineStr">
        <is>
          <t>Sponsorships, count per year</t>
        </is>
      </c>
      <c r="B69" s="8" t="inlineStr">
        <is>
          <t>Conservative</t>
        </is>
      </c>
      <c r="C69" s="18" t="n">
        <v>1</v>
      </c>
      <c r="D69" s="18" t="n">
        <v>2</v>
      </c>
      <c r="E69" s="18" t="n">
        <v>3</v>
      </c>
      <c r="F69" s="18" t="n">
        <v>4</v>
      </c>
      <c r="G69" s="18" t="n">
        <v>5</v>
      </c>
      <c r="H69" s="8" t="inlineStr">
        <is>
          <t>$5k average</t>
        </is>
      </c>
    </row>
    <row r="70">
      <c r="A70" s="11" t="inlineStr"/>
      <c r="B70" s="8" t="inlineStr">
        <is>
          <t>Base</t>
        </is>
      </c>
      <c r="C70" s="18" t="n">
        <v>2</v>
      </c>
      <c r="D70" s="18" t="n">
        <v>4</v>
      </c>
      <c r="E70" s="18" t="n">
        <v>8</v>
      </c>
      <c r="F70" s="18" t="n">
        <v>12</v>
      </c>
      <c r="G70" s="18" t="n">
        <v>16</v>
      </c>
      <c r="H70" s="7" t="n"/>
    </row>
    <row r="71">
      <c r="A71" s="11" t="inlineStr"/>
      <c r="B71" s="8" t="inlineStr">
        <is>
          <t>Fundable</t>
        </is>
      </c>
      <c r="C71" s="18" t="n">
        <v>4</v>
      </c>
      <c r="D71" s="18" t="n">
        <v>8</v>
      </c>
      <c r="E71" s="18" t="n">
        <v>16</v>
      </c>
      <c r="F71" s="18" t="n">
        <v>24</v>
      </c>
      <c r="G71" s="18" t="n">
        <v>32</v>
      </c>
      <c r="H71" s="7" t="n"/>
    </row>
    <row r="72">
      <c r="A72" s="7" t="n"/>
      <c r="B72" s="15" t="inlineStr">
        <is>
          <t>Active</t>
        </is>
      </c>
      <c r="C72" s="19">
        <f>CHOOSE(Inputs!$B$29,C69,C70,C71)</f>
        <v>2</v>
      </c>
      <c r="D72" s="19">
        <f>CHOOSE(Inputs!$B$29,D69,D70,D71)</f>
        <v>4</v>
      </c>
      <c r="E72" s="19">
        <f>CHOOSE(Inputs!$B$29,E69,E70,E71)</f>
        <v>8</v>
      </c>
      <c r="F72" s="19">
        <f>CHOOSE(Inputs!$B$29,F69,F70,F71)</f>
        <v>12</v>
      </c>
      <c r="G72" s="19">
        <f>CHOOSE(Inputs!$B$29,G69,G70,G71)</f>
        <v>16</v>
      </c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11" t="inlineStr">
        <is>
          <t>Garden community coordinator, hours/week (part-time, before the community hire covers it)</t>
        </is>
      </c>
      <c r="B74" s="8" t="inlineStr">
        <is>
          <t>Conservative</t>
        </is>
      </c>
      <c r="C74" s="18" t="n">
        <v>10</v>
      </c>
      <c r="D74" s="18" t="n">
        <v>10</v>
      </c>
      <c r="E74" s="18" t="n">
        <v>15</v>
      </c>
      <c r="F74" s="18" t="n">
        <v>15</v>
      </c>
      <c r="G74" s="18" t="n">
        <v>20</v>
      </c>
      <c r="H74" s="8" t="inlineStr">
        <is>
          <t>Paid hourly from the platform's half of Garden dues (Business Model §06)</t>
        </is>
      </c>
    </row>
    <row r="75">
      <c r="A75" s="11" t="inlineStr"/>
      <c r="B75" s="8" t="inlineStr">
        <is>
          <t>Base</t>
        </is>
      </c>
      <c r="C75" s="18" t="n">
        <v>10</v>
      </c>
      <c r="D75" s="18" t="n">
        <v>15</v>
      </c>
      <c r="E75" s="18" t="n">
        <v>10</v>
      </c>
      <c r="F75" s="18" t="n">
        <v>0</v>
      </c>
      <c r="G75" s="18" t="n">
        <v>0</v>
      </c>
      <c r="H75" s="7" t="n"/>
    </row>
    <row r="76">
      <c r="A76" s="11" t="inlineStr"/>
      <c r="B76" s="8" t="inlineStr">
        <is>
          <t>Fundable</t>
        </is>
      </c>
      <c r="C76" s="18" t="n">
        <v>15</v>
      </c>
      <c r="D76" s="18" t="n">
        <v>10</v>
      </c>
      <c r="E76" s="18" t="n">
        <v>0</v>
      </c>
      <c r="F76" s="18" t="n">
        <v>0</v>
      </c>
      <c r="G76" s="18" t="n">
        <v>0</v>
      </c>
      <c r="H76" s="7" t="n"/>
    </row>
    <row r="77">
      <c r="A77" s="7" t="n"/>
      <c r="B77" s="15" t="inlineStr">
        <is>
          <t>Active</t>
        </is>
      </c>
      <c r="C77" s="19">
        <f>CHOOSE(Inputs!$B$29,C74,C75,C76)</f>
        <v>10</v>
      </c>
      <c r="D77" s="19">
        <f>CHOOSE(Inputs!$B$29,D74,D75,D76)</f>
        <v>15</v>
      </c>
      <c r="E77" s="19">
        <f>CHOOSE(Inputs!$B$29,E74,E75,E76)</f>
        <v>10</v>
      </c>
      <c r="F77" s="19">
        <f>CHOOSE(Inputs!$B$29,F74,F75,F76)</f>
        <v>0</v>
      </c>
      <c r="G77" s="19">
        <f>CHOOSE(Inputs!$B$29,G74,G75,G76)</f>
        <v>0</v>
      </c>
      <c r="H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</row>
    <row r="79">
      <c r="A79" s="15" t="inlineStr">
        <is>
          <t>TRACK B — THE EXCHANGE (partner communities, hosts, B2B)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11" t="inlineStr">
        <is>
          <t>Partner communities, average active</t>
        </is>
      </c>
      <c r="B80" s="8" t="inlineStr">
        <is>
          <t>Conservative</t>
        </is>
      </c>
      <c r="C80" s="18" t="n">
        <v>2</v>
      </c>
      <c r="D80" s="18" t="n">
        <v>5</v>
      </c>
      <c r="E80" s="18" t="n">
        <v>10</v>
      </c>
      <c r="F80" s="18" t="n">
        <v>16</v>
      </c>
      <c r="G80" s="18" t="n">
        <v>24</v>
      </c>
      <c r="H80" s="8" t="inlineStr">
        <is>
          <t>Partner networks already mapped: NCVA 814, Word Weavers 1,200 (30 chapters), ACFW 3,000 (31 chapters), Realm Makers, Christian Animation Network, Art House cities, Inkwell Local cities</t>
        </is>
      </c>
    </row>
    <row r="81">
      <c r="A81" s="11" t="inlineStr"/>
      <c r="B81" s="8" t="inlineStr">
        <is>
          <t>Base</t>
        </is>
      </c>
      <c r="C81" s="18" t="n">
        <v>4</v>
      </c>
      <c r="D81" s="18" t="n">
        <v>12</v>
      </c>
      <c r="E81" s="18" t="n">
        <v>30</v>
      </c>
      <c r="F81" s="18" t="n">
        <v>60</v>
      </c>
      <c r="G81" s="18" t="n">
        <v>100</v>
      </c>
      <c r="H81" s="7" t="n"/>
    </row>
    <row r="82">
      <c r="A82" s="11" t="inlineStr"/>
      <c r="B82" s="8" t="inlineStr">
        <is>
          <t>Fundable</t>
        </is>
      </c>
      <c r="C82" s="18" t="n">
        <v>8</v>
      </c>
      <c r="D82" s="18" t="n">
        <v>25</v>
      </c>
      <c r="E82" s="18" t="n">
        <v>70</v>
      </c>
      <c r="F82" s="18" t="n">
        <v>150</v>
      </c>
      <c r="G82" s="18" t="n">
        <v>300</v>
      </c>
      <c r="H82" s="7" t="n"/>
    </row>
    <row r="83">
      <c r="A83" s="7" t="n"/>
      <c r="B83" s="15" t="inlineStr">
        <is>
          <t>Active</t>
        </is>
      </c>
      <c r="C83" s="19">
        <f>CHOOSE(Inputs!$B$29,C80,C81,C82)</f>
        <v>4</v>
      </c>
      <c r="D83" s="19">
        <f>CHOOSE(Inputs!$B$29,D80,D81,D82)</f>
        <v>12</v>
      </c>
      <c r="E83" s="19">
        <f>CHOOSE(Inputs!$B$29,E80,E81,E82)</f>
        <v>30</v>
      </c>
      <c r="F83" s="19">
        <f>CHOOSE(Inputs!$B$29,F80,F81,F82)</f>
        <v>60</v>
      </c>
      <c r="G83" s="19">
        <f>CHOOSE(Inputs!$B$29,G80,G81,G82)</f>
        <v>100</v>
      </c>
      <c r="H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</row>
    <row r="85">
      <c r="A85" s="11" t="inlineStr">
        <is>
          <t>Paying members per partner community, average</t>
        </is>
      </c>
      <c r="B85" s="8" t="inlineStr">
        <is>
          <t>Conservative</t>
        </is>
      </c>
      <c r="C85" s="18" t="n">
        <v>30</v>
      </c>
      <c r="D85" s="18" t="n">
        <v>40</v>
      </c>
      <c r="E85" s="18" t="n">
        <v>50</v>
      </c>
      <c r="F85" s="18" t="n">
        <v>60</v>
      </c>
      <c r="G85" s="18" t="n">
        <v>70</v>
      </c>
      <c r="H85" s="8" t="inlineStr">
        <is>
          <t>Hope*Writers converts ~3,200 paying at $47/mo (Comps); a chapter of 100 with 40–80 paying is the assumption</t>
        </is>
      </c>
    </row>
    <row r="86">
      <c r="A86" s="11" t="inlineStr"/>
      <c r="B86" s="8" t="inlineStr">
        <is>
          <t>Base</t>
        </is>
      </c>
      <c r="C86" s="18" t="n">
        <v>40</v>
      </c>
      <c r="D86" s="18" t="n">
        <v>60</v>
      </c>
      <c r="E86" s="18" t="n">
        <v>80</v>
      </c>
      <c r="F86" s="18" t="n">
        <v>100</v>
      </c>
      <c r="G86" s="18" t="n">
        <v>120</v>
      </c>
      <c r="H86" s="7" t="n"/>
    </row>
    <row r="87">
      <c r="A87" s="11" t="inlineStr"/>
      <c r="B87" s="8" t="inlineStr">
        <is>
          <t>Fundable</t>
        </is>
      </c>
      <c r="C87" s="18" t="n">
        <v>50</v>
      </c>
      <c r="D87" s="18" t="n">
        <v>80</v>
      </c>
      <c r="E87" s="18" t="n">
        <v>110</v>
      </c>
      <c r="F87" s="18" t="n">
        <v>140</v>
      </c>
      <c r="G87" s="18" t="n">
        <v>170</v>
      </c>
      <c r="H87" s="7" t="n"/>
    </row>
    <row r="88">
      <c r="A88" s="7" t="n"/>
      <c r="B88" s="15" t="inlineStr">
        <is>
          <t>Active</t>
        </is>
      </c>
      <c r="C88" s="19">
        <f>CHOOSE(Inputs!$B$29,C85,C86,C87)</f>
        <v>40</v>
      </c>
      <c r="D88" s="19">
        <f>CHOOSE(Inputs!$B$29,D85,D86,D87)</f>
        <v>60</v>
      </c>
      <c r="E88" s="19">
        <f>CHOOSE(Inputs!$B$29,E85,E86,E87)</f>
        <v>80</v>
      </c>
      <c r="F88" s="19">
        <f>CHOOSE(Inputs!$B$29,F85,F86,F87)</f>
        <v>100</v>
      </c>
      <c r="G88" s="19">
        <f>CHOOSE(Inputs!$B$29,G85,G86,G87)</f>
        <v>120</v>
      </c>
      <c r="H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</row>
    <row r="90">
      <c r="A90" s="11" t="inlineStr">
        <is>
          <t>Organization seat packs, seats active (partner communities)</t>
        </is>
      </c>
      <c r="B90" s="8" t="inlineStr">
        <is>
          <t>Conservative</t>
        </is>
      </c>
      <c r="C90" s="18" t="n">
        <v>0</v>
      </c>
      <c r="D90" s="18" t="n">
        <v>50</v>
      </c>
      <c r="E90" s="18" t="n">
        <v>200</v>
      </c>
      <c r="F90" s="18" t="n">
        <v>400</v>
      </c>
      <c r="G90" s="18" t="n">
        <v>700</v>
      </c>
      <c r="H90" s="8" t="inlineStr">
        <is>
          <t>Schools, universities, churches and other organizations buying seats for their people; platform keeps 10% of these dues. Base raised 2026-09-30 (Y3 800 to 2,000) to match the founder estimate of 5,000-10,000 members in three years</t>
        </is>
      </c>
    </row>
    <row r="91">
      <c r="A91" s="11" t="inlineStr"/>
      <c r="B91" s="8" t="inlineStr">
        <is>
          <t>Base</t>
        </is>
      </c>
      <c r="C91" s="18" t="n">
        <v>0</v>
      </c>
      <c r="D91" s="18" t="n">
        <v>300</v>
      </c>
      <c r="E91" s="18" t="n">
        <v>2000</v>
      </c>
      <c r="F91" s="18" t="n">
        <v>3500</v>
      </c>
      <c r="G91" s="18" t="n">
        <v>6000</v>
      </c>
      <c r="H91" s="7" t="n"/>
    </row>
    <row r="92">
      <c r="A92" s="11" t="inlineStr"/>
      <c r="B92" s="8" t="inlineStr">
        <is>
          <t>Fundable</t>
        </is>
      </c>
      <c r="C92" s="18" t="n">
        <v>0</v>
      </c>
      <c r="D92" s="18" t="n">
        <v>500</v>
      </c>
      <c r="E92" s="18" t="n">
        <v>2000</v>
      </c>
      <c r="F92" s="18" t="n">
        <v>5000</v>
      </c>
      <c r="G92" s="18" t="n">
        <v>10000</v>
      </c>
      <c r="H92" s="7" t="n"/>
    </row>
    <row r="93">
      <c r="A93" s="7" t="n"/>
      <c r="B93" s="15" t="inlineStr">
        <is>
          <t>Active</t>
        </is>
      </c>
      <c r="C93" s="19">
        <f>CHOOSE(Inputs!$B$29,C90,C91,C92)</f>
        <v>0</v>
      </c>
      <c r="D93" s="19">
        <f>CHOOSE(Inputs!$B$29,D90,D91,D92)</f>
        <v>300</v>
      </c>
      <c r="E93" s="19">
        <f>CHOOSE(Inputs!$B$29,E90,E91,E92)</f>
        <v>2000</v>
      </c>
      <c r="F93" s="19">
        <f>CHOOSE(Inputs!$B$29,F90,F91,F92)</f>
        <v>3500</v>
      </c>
      <c r="G93" s="19">
        <f>CHOOSE(Inputs!$B$29,G90,G91,G92)</f>
        <v>6000</v>
      </c>
      <c r="H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</row>
    <row r="95">
      <c r="A95" s="11" t="inlineStr">
        <is>
          <t>Class and premium GMV per community per year, $</t>
        </is>
      </c>
      <c r="B95" s="8" t="inlineStr">
        <is>
          <t>Conservative</t>
        </is>
      </c>
      <c r="C95" s="12" t="n">
        <v>2000</v>
      </c>
      <c r="D95" s="12" t="n">
        <v>4000</v>
      </c>
      <c r="E95" s="12" t="n">
        <v>6000</v>
      </c>
      <c r="F95" s="12" t="n">
        <v>8000</v>
      </c>
      <c r="G95" s="12" t="n">
        <v>10000</v>
      </c>
      <c r="H95" s="8" t="inlineStr">
        <is>
          <t>Business Model §04: a 100-member host sells ~$1,400/mo ($16.8k/yr)</t>
        </is>
      </c>
    </row>
    <row r="96">
      <c r="A96" s="11" t="inlineStr"/>
      <c r="B96" s="8" t="inlineStr">
        <is>
          <t>Base</t>
        </is>
      </c>
      <c r="C96" s="12" t="n">
        <v>4000</v>
      </c>
      <c r="D96" s="12" t="n">
        <v>8000</v>
      </c>
      <c r="E96" s="12" t="n">
        <v>12000</v>
      </c>
      <c r="F96" s="12" t="n">
        <v>16000</v>
      </c>
      <c r="G96" s="12" t="n">
        <v>20000</v>
      </c>
      <c r="H96" s="7" t="n"/>
    </row>
    <row r="97">
      <c r="A97" s="11" t="inlineStr"/>
      <c r="B97" s="8" t="inlineStr">
        <is>
          <t>Fundable</t>
        </is>
      </c>
      <c r="C97" s="12" t="n">
        <v>6000</v>
      </c>
      <c r="D97" s="12" t="n">
        <v>12000</v>
      </c>
      <c r="E97" s="12" t="n">
        <v>20000</v>
      </c>
      <c r="F97" s="12" t="n">
        <v>28000</v>
      </c>
      <c r="G97" s="12" t="n">
        <v>36000</v>
      </c>
      <c r="H97" s="7" t="n"/>
    </row>
    <row r="98">
      <c r="A98" s="7" t="n"/>
      <c r="B98" s="15" t="inlineStr">
        <is>
          <t>Active</t>
        </is>
      </c>
      <c r="C98" s="21">
        <f>CHOOSE(Inputs!$B$29,C95,C96,C97)</f>
        <v>4000</v>
      </c>
      <c r="D98" s="21">
        <f>CHOOSE(Inputs!$B$29,D95,D96,D97)</f>
        <v>8000</v>
      </c>
      <c r="E98" s="21">
        <f>CHOOSE(Inputs!$B$29,E95,E96,E97)</f>
        <v>12000</v>
      </c>
      <c r="F98" s="21">
        <f>CHOOSE(Inputs!$B$29,F95,F96,F97)</f>
        <v>16000</v>
      </c>
      <c r="G98" s="21">
        <f>CHOOSE(Inputs!$B$29,G95,G96,G97)</f>
        <v>20000</v>
      </c>
      <c r="H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</row>
    <row r="100">
      <c r="A100" s="11" t="inlineStr">
        <is>
          <t>Backing GMV per paying member per year, $</t>
        </is>
      </c>
      <c r="B100" s="8" t="inlineStr">
        <is>
          <t>Conservative</t>
        </is>
      </c>
      <c r="C100" s="12" t="n">
        <v>30</v>
      </c>
      <c r="D100" s="12" t="n">
        <v>40</v>
      </c>
      <c r="E100" s="12" t="n">
        <v>50</v>
      </c>
      <c r="F100" s="12" t="n">
        <v>60</v>
      </c>
      <c r="G100" s="12" t="n">
        <v>70</v>
      </c>
      <c r="H100" s="7" t="n"/>
    </row>
    <row r="101">
      <c r="A101" s="11" t="inlineStr"/>
      <c r="B101" s="8" t="inlineStr">
        <is>
          <t>Base</t>
        </is>
      </c>
      <c r="C101" s="12" t="n">
        <v>60</v>
      </c>
      <c r="D101" s="12" t="n">
        <v>80</v>
      </c>
      <c r="E101" s="12" t="n">
        <v>100</v>
      </c>
      <c r="F101" s="12" t="n">
        <v>120</v>
      </c>
      <c r="G101" s="12" t="n">
        <v>140</v>
      </c>
      <c r="H101" s="7" t="n"/>
    </row>
    <row r="102">
      <c r="A102" s="11" t="inlineStr"/>
      <c r="B102" s="8" t="inlineStr">
        <is>
          <t>Fundable</t>
        </is>
      </c>
      <c r="C102" s="12" t="n">
        <v>80</v>
      </c>
      <c r="D102" s="12" t="n">
        <v>120</v>
      </c>
      <c r="E102" s="12" t="n">
        <v>160</v>
      </c>
      <c r="F102" s="12" t="n">
        <v>200</v>
      </c>
      <c r="G102" s="12" t="n">
        <v>240</v>
      </c>
      <c r="H102" s="7" t="n"/>
    </row>
    <row r="103">
      <c r="A103" s="7" t="n"/>
      <c r="B103" s="15" t="inlineStr">
        <is>
          <t>Active</t>
        </is>
      </c>
      <c r="C103" s="21">
        <f>CHOOSE(Inputs!$B$29,C100,C101,C102)</f>
        <v>60</v>
      </c>
      <c r="D103" s="21">
        <f>CHOOSE(Inputs!$B$29,D100,D101,D102)</f>
        <v>80</v>
      </c>
      <c r="E103" s="21">
        <f>CHOOSE(Inputs!$B$29,E100,E101,E102)</f>
        <v>100</v>
      </c>
      <c r="F103" s="21">
        <f>CHOOSE(Inputs!$B$29,F100,F101,F102)</f>
        <v>120</v>
      </c>
      <c r="G103" s="21">
        <f>CHOOSE(Inputs!$B$29,G100,G101,G102)</f>
        <v>140</v>
      </c>
      <c r="H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</row>
    <row r="105">
      <c r="A105" s="11" t="inlineStr">
        <is>
          <t>Share of partner communities on the host/org plan</t>
        </is>
      </c>
      <c r="B105" s="8" t="inlineStr">
        <is>
          <t>Conservative</t>
        </is>
      </c>
      <c r="C105" s="13" t="n">
        <v>0</v>
      </c>
      <c r="D105" s="13" t="n">
        <v>0.1</v>
      </c>
      <c r="E105" s="13" t="n">
        <v>0.2</v>
      </c>
      <c r="F105" s="13" t="n">
        <v>0.25</v>
      </c>
      <c r="G105" s="13" t="n">
        <v>0.3</v>
      </c>
      <c r="H105" s="8" t="inlineStr">
        <is>
          <t>PROPOSED $50/mo plan</t>
        </is>
      </c>
    </row>
    <row r="106">
      <c r="A106" s="11" t="inlineStr"/>
      <c r="B106" s="8" t="inlineStr">
        <is>
          <t>Base</t>
        </is>
      </c>
      <c r="C106" s="13" t="n">
        <v>0.25</v>
      </c>
      <c r="D106" s="13" t="n">
        <v>0.35</v>
      </c>
      <c r="E106" s="13" t="n">
        <v>0.45</v>
      </c>
      <c r="F106" s="13" t="n">
        <v>0.5</v>
      </c>
      <c r="G106" s="13" t="n">
        <v>0.5</v>
      </c>
      <c r="H106" s="7" t="n"/>
    </row>
    <row r="107">
      <c r="A107" s="11" t="inlineStr"/>
      <c r="B107" s="8" t="inlineStr">
        <is>
          <t>Fundable</t>
        </is>
      </c>
      <c r="C107" s="13" t="n">
        <v>0.3</v>
      </c>
      <c r="D107" s="13" t="n">
        <v>0.45</v>
      </c>
      <c r="E107" s="13" t="n">
        <v>0.55</v>
      </c>
      <c r="F107" s="13" t="n">
        <v>0.6</v>
      </c>
      <c r="G107" s="13" t="n">
        <v>0.6</v>
      </c>
      <c r="H107" s="7" t="n"/>
    </row>
    <row r="108">
      <c r="A108" s="7" t="n"/>
      <c r="B108" s="15" t="inlineStr">
        <is>
          <t>Active</t>
        </is>
      </c>
      <c r="C108" s="20">
        <f>CHOOSE(Inputs!$B$29,C105,C106,C107)</f>
        <v>0.25</v>
      </c>
      <c r="D108" s="20">
        <f>CHOOSE(Inputs!$B$29,D105,D106,D107)</f>
        <v>0.35</v>
      </c>
      <c r="E108" s="20">
        <f>CHOOSE(Inputs!$B$29,E105,E106,E107)</f>
        <v>0.45</v>
      </c>
      <c r="F108" s="20">
        <f>CHOOSE(Inputs!$B$29,F105,F106,F107)</f>
        <v>0.5</v>
      </c>
      <c r="G108" s="20">
        <f>CHOOSE(Inputs!$B$29,G105,G106,G107)</f>
        <v>0.5</v>
      </c>
      <c r="H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</row>
    <row r="110">
      <c r="A110" s="11" t="inlineStr">
        <is>
          <t>Partner plans (gig posters), average active</t>
        </is>
      </c>
      <c r="B110" s="8" t="inlineStr">
        <is>
          <t>Conservative</t>
        </is>
      </c>
      <c r="C110" s="18" t="n">
        <v>2</v>
      </c>
      <c r="D110" s="18" t="n">
        <v>5</v>
      </c>
      <c r="E110" s="18" t="n">
        <v>12</v>
      </c>
      <c r="F110" s="18" t="n">
        <v>25</v>
      </c>
      <c r="G110" s="18" t="n">
        <v>40</v>
      </c>
      <c r="H110" s="8" t="inlineStr">
        <is>
          <t>PROPOSED $79/mo: churches, businesses, nonprofits posting paid work</t>
        </is>
      </c>
    </row>
    <row r="111">
      <c r="A111" s="11" t="inlineStr"/>
      <c r="B111" s="8" t="inlineStr">
        <is>
          <t>Base</t>
        </is>
      </c>
      <c r="C111" s="18" t="n">
        <v>5</v>
      </c>
      <c r="D111" s="18" t="n">
        <v>20</v>
      </c>
      <c r="E111" s="18" t="n">
        <v>60</v>
      </c>
      <c r="F111" s="18" t="n">
        <v>150</v>
      </c>
      <c r="G111" s="18" t="n">
        <v>300</v>
      </c>
      <c r="H111" s="7" t="n"/>
    </row>
    <row r="112">
      <c r="A112" s="11" t="inlineStr"/>
      <c r="B112" s="8" t="inlineStr">
        <is>
          <t>Fundable</t>
        </is>
      </c>
      <c r="C112" s="18" t="n">
        <v>10</v>
      </c>
      <c r="D112" s="18" t="n">
        <v>40</v>
      </c>
      <c r="E112" s="18" t="n">
        <v>120</v>
      </c>
      <c r="F112" s="18" t="n">
        <v>300</v>
      </c>
      <c r="G112" s="18" t="n">
        <v>600</v>
      </c>
      <c r="H112" s="7" t="n"/>
    </row>
    <row r="113">
      <c r="A113" s="7" t="n"/>
      <c r="B113" s="15" t="inlineStr">
        <is>
          <t>Active</t>
        </is>
      </c>
      <c r="C113" s="19">
        <f>CHOOSE(Inputs!$B$29,C110,C111,C112)</f>
        <v>5</v>
      </c>
      <c r="D113" s="19">
        <f>CHOOSE(Inputs!$B$29,D110,D111,D112)</f>
        <v>20</v>
      </c>
      <c r="E113" s="19">
        <f>CHOOSE(Inputs!$B$29,E110,E111,E112)</f>
        <v>60</v>
      </c>
      <c r="F113" s="19">
        <f>CHOOSE(Inputs!$B$29,F110,F111,F112)</f>
        <v>150</v>
      </c>
      <c r="G113" s="19">
        <f>CHOOSE(Inputs!$B$29,G110,G111,G112)</f>
        <v>300</v>
      </c>
      <c r="H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</row>
    <row r="115">
      <c r="A115" s="11" t="inlineStr">
        <is>
          <t>Gifts to partner-run programs, $/year</t>
        </is>
      </c>
      <c r="B115" s="8" t="inlineStr">
        <is>
          <t>Conservative</t>
        </is>
      </c>
      <c r="C115" s="12" t="n">
        <v>0</v>
      </c>
      <c r="D115" s="12" t="n">
        <v>5000</v>
      </c>
      <c r="E115" s="12" t="n">
        <v>20000</v>
      </c>
      <c r="F115" s="12" t="n">
        <v>40000</v>
      </c>
      <c r="G115" s="12" t="n">
        <v>70000</v>
      </c>
      <c r="H115" s="8" t="inlineStr">
        <is>
          <t>5% platform fee</t>
        </is>
      </c>
    </row>
    <row r="116">
      <c r="A116" s="11" t="inlineStr"/>
      <c r="B116" s="8" t="inlineStr">
        <is>
          <t>Base</t>
        </is>
      </c>
      <c r="C116" s="12" t="n">
        <v>0</v>
      </c>
      <c r="D116" s="12" t="n">
        <v>20000</v>
      </c>
      <c r="E116" s="12" t="n">
        <v>60000</v>
      </c>
      <c r="F116" s="12" t="n">
        <v>150000</v>
      </c>
      <c r="G116" s="12" t="n">
        <v>300000</v>
      </c>
      <c r="H116" s="7" t="n"/>
    </row>
    <row r="117">
      <c r="A117" s="11" t="inlineStr"/>
      <c r="B117" s="8" t="inlineStr">
        <is>
          <t>Fundable</t>
        </is>
      </c>
      <c r="C117" s="12" t="n">
        <v>0</v>
      </c>
      <c r="D117" s="12" t="n">
        <v>50000</v>
      </c>
      <c r="E117" s="12" t="n">
        <v>150000</v>
      </c>
      <c r="F117" s="12" t="n">
        <v>400000</v>
      </c>
      <c r="G117" s="12" t="n">
        <v>800000</v>
      </c>
      <c r="H117" s="7" t="n"/>
    </row>
    <row r="118">
      <c r="A118" s="7" t="n"/>
      <c r="B118" s="15" t="inlineStr">
        <is>
          <t>Active</t>
        </is>
      </c>
      <c r="C118" s="21">
        <f>CHOOSE(Inputs!$B$29,C115,C116,C117)</f>
        <v>0</v>
      </c>
      <c r="D118" s="21">
        <f>CHOOSE(Inputs!$B$29,D115,D116,D117)</f>
        <v>20000</v>
      </c>
      <c r="E118" s="21">
        <f>CHOOSE(Inputs!$B$29,E115,E116,E117)</f>
        <v>60000</v>
      </c>
      <c r="F118" s="21">
        <f>CHOOSE(Inputs!$B$29,F115,F116,F117)</f>
        <v>150000</v>
      </c>
      <c r="G118" s="21">
        <f>CHOOSE(Inputs!$B$29,G115,G116,G117)</f>
        <v>300000</v>
      </c>
      <c r="H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</row>
    <row r="120">
      <c r="A120" s="11" t="inlineStr">
        <is>
          <t>Event ticket GMV in partner communities, $/year</t>
        </is>
      </c>
      <c r="B120" s="8" t="inlineStr">
        <is>
          <t>Conservative</t>
        </is>
      </c>
      <c r="C120" s="12" t="n">
        <v>2000</v>
      </c>
      <c r="D120" s="12" t="n">
        <v>8000</v>
      </c>
      <c r="E120" s="12" t="n">
        <v>20000</v>
      </c>
      <c r="F120" s="12" t="n">
        <v>40000</v>
      </c>
      <c r="G120" s="12" t="n">
        <v>70000</v>
      </c>
      <c r="H120" s="8" t="inlineStr">
        <is>
          <t>PROPOSED 5% fee</t>
        </is>
      </c>
    </row>
    <row r="121">
      <c r="A121" s="11" t="inlineStr"/>
      <c r="B121" s="8" t="inlineStr">
        <is>
          <t>Base</t>
        </is>
      </c>
      <c r="C121" s="12" t="n">
        <v>5000</v>
      </c>
      <c r="D121" s="12" t="n">
        <v>20000</v>
      </c>
      <c r="E121" s="12" t="n">
        <v>60000</v>
      </c>
      <c r="F121" s="12" t="n">
        <v>150000</v>
      </c>
      <c r="G121" s="12" t="n">
        <v>300000</v>
      </c>
      <c r="H121" s="7" t="n"/>
    </row>
    <row r="122">
      <c r="A122" s="11" t="inlineStr"/>
      <c r="B122" s="8" t="inlineStr">
        <is>
          <t>Fundable</t>
        </is>
      </c>
      <c r="C122" s="12" t="n">
        <v>10000</v>
      </c>
      <c r="D122" s="12" t="n">
        <v>40000</v>
      </c>
      <c r="E122" s="12" t="n">
        <v>120000</v>
      </c>
      <c r="F122" s="12" t="n">
        <v>300000</v>
      </c>
      <c r="G122" s="12" t="n">
        <v>600000</v>
      </c>
      <c r="H122" s="7" t="n"/>
    </row>
    <row r="123">
      <c r="A123" s="7" t="n"/>
      <c r="B123" s="15" t="inlineStr">
        <is>
          <t>Active</t>
        </is>
      </c>
      <c r="C123" s="21">
        <f>CHOOSE(Inputs!$B$29,C120,C121,C122)</f>
        <v>5000</v>
      </c>
      <c r="D123" s="21">
        <f>CHOOSE(Inputs!$B$29,D120,D121,D122)</f>
        <v>20000</v>
      </c>
      <c r="E123" s="21">
        <f>CHOOSE(Inputs!$B$29,E120,E121,E122)</f>
        <v>60000</v>
      </c>
      <c r="F123" s="21">
        <f>CHOOSE(Inputs!$B$29,F120,F121,F122)</f>
        <v>150000</v>
      </c>
      <c r="G123" s="21">
        <f>CHOOSE(Inputs!$B$29,G120,G121,G122)</f>
        <v>300000</v>
      </c>
      <c r="H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</row>
    <row r="125">
      <c r="A125" s="11" t="inlineStr">
        <is>
          <t>Sponsorships in partner communities, count per year</t>
        </is>
      </c>
      <c r="B125" s="8" t="inlineStr">
        <is>
          <t>Conservative</t>
        </is>
      </c>
      <c r="C125" s="18" t="n">
        <v>0</v>
      </c>
      <c r="D125" s="18" t="n">
        <v>1</v>
      </c>
      <c r="E125" s="18" t="n">
        <v>2</v>
      </c>
      <c r="F125" s="18" t="n">
        <v>4</v>
      </c>
      <c r="G125" s="18" t="n">
        <v>6</v>
      </c>
      <c r="H125" s="7" t="n"/>
    </row>
    <row r="126">
      <c r="A126" s="11" t="inlineStr"/>
      <c r="B126" s="8" t="inlineStr">
        <is>
          <t>Base</t>
        </is>
      </c>
      <c r="C126" s="18" t="n">
        <v>0</v>
      </c>
      <c r="D126" s="18" t="n">
        <v>2</v>
      </c>
      <c r="E126" s="18" t="n">
        <v>6</v>
      </c>
      <c r="F126" s="18" t="n">
        <v>12</v>
      </c>
      <c r="G126" s="18" t="n">
        <v>20</v>
      </c>
      <c r="H126" s="7" t="n"/>
    </row>
    <row r="127">
      <c r="A127" s="11" t="inlineStr"/>
      <c r="B127" s="8" t="inlineStr">
        <is>
          <t>Fundable</t>
        </is>
      </c>
      <c r="C127" s="18" t="n">
        <v>1</v>
      </c>
      <c r="D127" s="18" t="n">
        <v>4</v>
      </c>
      <c r="E127" s="18" t="n">
        <v>12</v>
      </c>
      <c r="F127" s="18" t="n">
        <v>24</v>
      </c>
      <c r="G127" s="18" t="n">
        <v>40</v>
      </c>
      <c r="H127" s="7" t="n"/>
    </row>
    <row r="128">
      <c r="A128" s="7" t="n"/>
      <c r="B128" s="15" t="inlineStr">
        <is>
          <t>Active</t>
        </is>
      </c>
      <c r="C128" s="19">
        <f>CHOOSE(Inputs!$B$29,C125,C126,C127)</f>
        <v>0</v>
      </c>
      <c r="D128" s="19">
        <f>CHOOSE(Inputs!$B$29,D125,D126,D127)</f>
        <v>2</v>
      </c>
      <c r="E128" s="19">
        <f>CHOOSE(Inputs!$B$29,E125,E126,E127)</f>
        <v>6</v>
      </c>
      <c r="F128" s="19">
        <f>CHOOSE(Inputs!$B$29,F125,F126,F127)</f>
        <v>12</v>
      </c>
      <c r="G128" s="19">
        <f>CHOOSE(Inputs!$B$29,G125,G126,G127)</f>
        <v>20</v>
      </c>
      <c r="H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</row>
    <row r="130">
      <c r="A130" s="11" t="inlineStr">
        <is>
          <t>FRANCHISE METROS: new metros launched in the year</t>
        </is>
      </c>
      <c r="B130" s="8" t="inlineStr">
        <is>
          <t>Conservative</t>
        </is>
      </c>
      <c r="C130" s="18" t="n">
        <v>0</v>
      </c>
      <c r="D130" s="18" t="n">
        <v>1</v>
      </c>
      <c r="E130" s="18" t="n">
        <v>1</v>
      </c>
      <c r="F130" s="18" t="n">
        <v>1</v>
      </c>
      <c r="G130" s="18" t="n">
        <v>2</v>
      </c>
      <c r="H130" s="8" t="inlineStr">
        <is>
          <t>A metro is a cluster of communities led by their own people on our infrastructure (Nashville, Las Vegas, Los Angeles, Austin, Atlanta, Dallas-Fort Worth, Phoenix, Denver, Seattle first). Cumulative by Y5: Conservative 5, Base 20, Fundable 40</t>
        </is>
      </c>
    </row>
    <row r="131">
      <c r="A131" s="11" t="inlineStr"/>
      <c r="B131" s="8" t="inlineStr">
        <is>
          <t>Base</t>
        </is>
      </c>
      <c r="C131" s="18" t="n">
        <v>0</v>
      </c>
      <c r="D131" s="18" t="n">
        <v>2</v>
      </c>
      <c r="E131" s="18" t="n">
        <v>4</v>
      </c>
      <c r="F131" s="18" t="n">
        <v>6</v>
      </c>
      <c r="G131" s="18" t="n">
        <v>8</v>
      </c>
      <c r="H131" s="7" t="n"/>
    </row>
    <row r="132">
      <c r="A132" s="11" t="inlineStr"/>
      <c r="B132" s="8" t="inlineStr">
        <is>
          <t>Fundable</t>
        </is>
      </c>
      <c r="C132" s="18" t="n">
        <v>0</v>
      </c>
      <c r="D132" s="18" t="n">
        <v>4</v>
      </c>
      <c r="E132" s="18" t="n">
        <v>8</v>
      </c>
      <c r="F132" s="18" t="n">
        <v>12</v>
      </c>
      <c r="G132" s="18" t="n">
        <v>16</v>
      </c>
      <c r="H132" s="7" t="n"/>
    </row>
    <row r="133">
      <c r="A133" s="7" t="n"/>
      <c r="B133" s="15" t="inlineStr">
        <is>
          <t>Active</t>
        </is>
      </c>
      <c r="C133" s="19">
        <f>CHOOSE(Inputs!$B$29,C130,C131,C132)</f>
        <v>0</v>
      </c>
      <c r="D133" s="19">
        <f>CHOOSE(Inputs!$B$29,D130,D131,D132)</f>
        <v>2</v>
      </c>
      <c r="E133" s="19">
        <f>CHOOSE(Inputs!$B$29,E130,E131,E132)</f>
        <v>4</v>
      </c>
      <c r="F133" s="19">
        <f>CHOOSE(Inputs!$B$29,F130,F131,F132)</f>
        <v>6</v>
      </c>
      <c r="G133" s="19">
        <f>CHOOSE(Inputs!$B$29,G130,G131,G132)</f>
        <v>8</v>
      </c>
      <c r="H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</row>
    <row r="135">
      <c r="A135" s="11" t="inlineStr">
        <is>
          <t>Cost to launch a metro, $ (one time, in the launch year)</t>
        </is>
      </c>
      <c r="B135" s="8" t="inlineStr">
        <is>
          <t>Conservative</t>
        </is>
      </c>
      <c r="C135" s="12" t="n">
        <v>8000</v>
      </c>
      <c r="D135" s="12" t="n">
        <v>8000</v>
      </c>
      <c r="E135" s="12" t="n">
        <v>8000</v>
      </c>
      <c r="F135" s="12" t="n">
        <v>8000</v>
      </c>
      <c r="G135" s="12" t="n">
        <v>8000</v>
      </c>
      <c r="H135" s="8" t="inlineStr">
        <is>
          <t>Mostly relationships and some marketing: three or four trips (~$3k), a launch gathering (~$2k), local content and ads (~$4k), a local organizer stipend for the first six months (~$3k). Vary it here</t>
        </is>
      </c>
    </row>
    <row r="136">
      <c r="A136" s="11" t="inlineStr"/>
      <c r="B136" s="8" t="inlineStr">
        <is>
          <t>Base</t>
        </is>
      </c>
      <c r="C136" s="12" t="n">
        <v>12000</v>
      </c>
      <c r="D136" s="12" t="n">
        <v>12000</v>
      </c>
      <c r="E136" s="12" t="n">
        <v>12000</v>
      </c>
      <c r="F136" s="12" t="n">
        <v>12000</v>
      </c>
      <c r="G136" s="12" t="n">
        <v>12000</v>
      </c>
      <c r="H136" s="7" t="n"/>
    </row>
    <row r="137">
      <c r="A137" s="11" t="inlineStr"/>
      <c r="B137" s="8" t="inlineStr">
        <is>
          <t>Fundable</t>
        </is>
      </c>
      <c r="C137" s="12" t="n">
        <v>20000</v>
      </c>
      <c r="D137" s="12" t="n">
        <v>20000</v>
      </c>
      <c r="E137" s="12" t="n">
        <v>20000</v>
      </c>
      <c r="F137" s="12" t="n">
        <v>20000</v>
      </c>
      <c r="G137" s="12" t="n">
        <v>20000</v>
      </c>
      <c r="H137" s="7" t="n"/>
    </row>
    <row r="138">
      <c r="A138" s="7" t="n"/>
      <c r="B138" s="15" t="inlineStr">
        <is>
          <t>Active</t>
        </is>
      </c>
      <c r="C138" s="21">
        <f>CHOOSE(Inputs!$B$29,C135,C136,C137)</f>
        <v>12000</v>
      </c>
      <c r="D138" s="21">
        <f>CHOOSE(Inputs!$B$29,D135,D136,D137)</f>
        <v>12000</v>
      </c>
      <c r="E138" s="21">
        <f>CHOOSE(Inputs!$B$29,E135,E136,E137)</f>
        <v>12000</v>
      </c>
      <c r="F138" s="21">
        <f>CHOOSE(Inputs!$B$29,F135,F136,F137)</f>
        <v>12000</v>
      </c>
      <c r="G138" s="21">
        <f>CHOOSE(Inputs!$B$29,G135,G136,G137)</f>
        <v>12000</v>
      </c>
      <c r="H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</row>
    <row r="140">
      <c r="A140" s="11" t="inlineStr">
        <is>
          <t>Cost to support an active metro, $/year</t>
        </is>
      </c>
      <c r="B140" s="8" t="inlineStr">
        <is>
          <t>Conservative</t>
        </is>
      </c>
      <c r="C140" s="12" t="n">
        <v>4000</v>
      </c>
      <c r="D140" s="12" t="n">
        <v>4000</v>
      </c>
      <c r="E140" s="12" t="n">
        <v>4000</v>
      </c>
      <c r="F140" s="12" t="n">
        <v>4000</v>
      </c>
      <c r="G140" s="12" t="n">
        <v>4000</v>
      </c>
      <c r="H140" s="8" t="inlineStr">
        <is>
          <t>Organizer stipend, a gathering a quarter, local content; paid for by the metro's own dues share within its first year</t>
        </is>
      </c>
    </row>
    <row r="141">
      <c r="A141" s="11" t="inlineStr"/>
      <c r="B141" s="8" t="inlineStr">
        <is>
          <t>Base</t>
        </is>
      </c>
      <c r="C141" s="12" t="n">
        <v>6000</v>
      </c>
      <c r="D141" s="12" t="n">
        <v>6000</v>
      </c>
      <c r="E141" s="12" t="n">
        <v>6000</v>
      </c>
      <c r="F141" s="12" t="n">
        <v>6000</v>
      </c>
      <c r="G141" s="12" t="n">
        <v>6000</v>
      </c>
      <c r="H141" s="7" t="n"/>
    </row>
    <row r="142">
      <c r="A142" s="11" t="inlineStr"/>
      <c r="B142" s="8" t="inlineStr">
        <is>
          <t>Fundable</t>
        </is>
      </c>
      <c r="C142" s="12" t="n">
        <v>10000</v>
      </c>
      <c r="D142" s="12" t="n">
        <v>10000</v>
      </c>
      <c r="E142" s="12" t="n">
        <v>10000</v>
      </c>
      <c r="F142" s="12" t="n">
        <v>10000</v>
      </c>
      <c r="G142" s="12" t="n">
        <v>10000</v>
      </c>
      <c r="H142" s="7" t="n"/>
    </row>
    <row r="143">
      <c r="A143" s="7" t="n"/>
      <c r="B143" s="15" t="inlineStr">
        <is>
          <t>Active</t>
        </is>
      </c>
      <c r="C143" s="21">
        <f>CHOOSE(Inputs!$B$29,C140,C141,C142)</f>
        <v>6000</v>
      </c>
      <c r="D143" s="21">
        <f>CHOOSE(Inputs!$B$29,D140,D141,D142)</f>
        <v>6000</v>
      </c>
      <c r="E143" s="21">
        <f>CHOOSE(Inputs!$B$29,E140,E141,E142)</f>
        <v>6000</v>
      </c>
      <c r="F143" s="21">
        <f>CHOOSE(Inputs!$B$29,F140,F141,F142)</f>
        <v>6000</v>
      </c>
      <c r="G143" s="21">
        <f>CHOOSE(Inputs!$B$29,G140,G141,G142)</f>
        <v>6000</v>
      </c>
      <c r="H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</row>
    <row r="145">
      <c r="A145" s="11" t="inlineStr">
        <is>
          <t>Partner communities per active metro, average</t>
        </is>
      </c>
      <c r="B145" s="8" t="inlineStr">
        <is>
          <t>Conservative</t>
        </is>
      </c>
      <c r="C145" s="18" t="n">
        <v>2</v>
      </c>
      <c r="D145" s="18" t="n">
        <v>2</v>
      </c>
      <c r="E145" s="18" t="n">
        <v>3</v>
      </c>
      <c r="F145" s="18" t="n">
        <v>3</v>
      </c>
      <c r="G145" s="18" t="n">
        <v>4</v>
      </c>
      <c r="H145" s="8" t="inlineStr">
        <is>
          <t>Each metro is churches, schools and arts groups on the platform; the average rises as early metros mature</t>
        </is>
      </c>
    </row>
    <row r="146">
      <c r="A146" s="11" t="inlineStr"/>
      <c r="B146" s="8" t="inlineStr">
        <is>
          <t>Base</t>
        </is>
      </c>
      <c r="C146" s="18" t="n">
        <v>2</v>
      </c>
      <c r="D146" s="18" t="n">
        <v>3</v>
      </c>
      <c r="E146" s="18" t="n">
        <v>4</v>
      </c>
      <c r="F146" s="18" t="n">
        <v>5</v>
      </c>
      <c r="G146" s="18" t="n">
        <v>6</v>
      </c>
      <c r="H146" s="7" t="n"/>
    </row>
    <row r="147">
      <c r="A147" s="11" t="inlineStr"/>
      <c r="B147" s="8" t="inlineStr">
        <is>
          <t>Fundable</t>
        </is>
      </c>
      <c r="C147" s="18" t="n">
        <v>3</v>
      </c>
      <c r="D147" s="18" t="n">
        <v>4</v>
      </c>
      <c r="E147" s="18" t="n">
        <v>6</v>
      </c>
      <c r="F147" s="18" t="n">
        <v>8</v>
      </c>
      <c r="G147" s="18" t="n">
        <v>10</v>
      </c>
      <c r="H147" s="7" t="n"/>
    </row>
    <row r="148">
      <c r="A148" s="7" t="n"/>
      <c r="B148" s="15" t="inlineStr">
        <is>
          <t>Active</t>
        </is>
      </c>
      <c r="C148" s="19">
        <f>CHOOSE(Inputs!$B$29,C145,C146,C147)</f>
        <v>2</v>
      </c>
      <c r="D148" s="19">
        <f>CHOOSE(Inputs!$B$29,D145,D146,D147)</f>
        <v>3</v>
      </c>
      <c r="E148" s="19">
        <f>CHOOSE(Inputs!$B$29,E145,E146,E147)</f>
        <v>4</v>
      </c>
      <c r="F148" s="19">
        <f>CHOOSE(Inputs!$B$29,F145,F146,F147)</f>
        <v>5</v>
      </c>
      <c r="G148" s="19">
        <f>CHOOSE(Inputs!$B$29,G145,G146,G147)</f>
        <v>6</v>
      </c>
      <c r="H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</row>
    <row r="150">
      <c r="A150" s="15" t="inlineStr">
        <is>
          <t>TEAM (founders before employees; salaries, not loaded — payroll load is applied in Combined)</t>
        </is>
      </c>
      <c r="B150" s="7" t="n"/>
      <c r="C150" s="7" t="n"/>
      <c r="D150" s="7" t="n"/>
      <c r="E150" s="7" t="n"/>
      <c r="F150" s="7" t="n"/>
      <c r="G150" s="7" t="n"/>
      <c r="H150" s="7" t="n"/>
    </row>
    <row r="151">
      <c r="A151" s="11" t="inlineStr">
        <is>
          <t>Founder 1 (Rick Moy, product &amp; engineering) salary, $/year (cash paid that year)</t>
        </is>
      </c>
      <c r="B151" s="8" t="inlineStr">
        <is>
          <t>Conservative</t>
        </is>
      </c>
      <c r="C151" s="12" t="n">
        <v>0</v>
      </c>
      <c r="D151" s="12" t="n">
        <v>0</v>
      </c>
      <c r="E151" s="12" t="n">
        <v>36000</v>
      </c>
      <c r="F151" s="12" t="n">
        <v>60000</v>
      </c>
      <c r="G151" s="12" t="n">
        <v>72000</v>
      </c>
      <c r="H151" s="8" t="inlineStr">
        <is>
          <t>Pay is conditional on a first close of at least $150k and starts the month after it (assumed month 2), on a ramp: Base $4k/mo for six months, $5.5k/mo for the rest of Y1 (= $51k), $6k→$7k/mo through Y2 ($78k), then $105k / $125k / $140k. Fundable starts at $5k/mo. Conservative: day jobs kept, part-time pay from Y3. Both founders are full time before anyone else is hired full time</t>
        </is>
      </c>
    </row>
    <row r="152">
      <c r="A152" s="11" t="inlineStr"/>
      <c r="B152" s="8" t="inlineStr">
        <is>
          <t>Base</t>
        </is>
      </c>
      <c r="C152" s="12" t="n">
        <v>51000</v>
      </c>
      <c r="D152" s="12" t="n">
        <v>78000</v>
      </c>
      <c r="E152" s="12" t="n">
        <v>105000</v>
      </c>
      <c r="F152" s="12" t="n">
        <v>125000</v>
      </c>
      <c r="G152" s="12" t="n">
        <v>140000</v>
      </c>
      <c r="H152" s="7" t="n"/>
    </row>
    <row r="153">
      <c r="A153" s="11" t="inlineStr"/>
      <c r="B153" s="8" t="inlineStr">
        <is>
          <t>Fundable</t>
        </is>
      </c>
      <c r="C153" s="12" t="n">
        <v>66000</v>
      </c>
      <c r="D153" s="12" t="n">
        <v>100000</v>
      </c>
      <c r="E153" s="12" t="n">
        <v>130000</v>
      </c>
      <c r="F153" s="12" t="n">
        <v>160000</v>
      </c>
      <c r="G153" s="12" t="n">
        <v>190000</v>
      </c>
      <c r="H153" s="7" t="n"/>
    </row>
    <row r="154">
      <c r="A154" s="7" t="n"/>
      <c r="B154" s="15" t="inlineStr">
        <is>
          <t>Active</t>
        </is>
      </c>
      <c r="C154" s="21">
        <f>CHOOSE(Inputs!$B$29,C151,C152,C153)</f>
        <v>51000</v>
      </c>
      <c r="D154" s="21">
        <f>CHOOSE(Inputs!$B$29,D151,D152,D153)</f>
        <v>78000</v>
      </c>
      <c r="E154" s="21">
        <f>CHOOSE(Inputs!$B$29,E151,E152,E153)</f>
        <v>105000</v>
      </c>
      <c r="F154" s="21">
        <f>CHOOSE(Inputs!$B$29,F151,F152,F153)</f>
        <v>125000</v>
      </c>
      <c r="G154" s="21">
        <f>CHOOSE(Inputs!$B$29,G151,G152,G153)</f>
        <v>140000</v>
      </c>
      <c r="H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</row>
    <row r="156">
      <c r="A156" s="11" t="inlineStr">
        <is>
          <t>Founder 2 (Haley Dall, community &amp; programs) salary, $/year (cash paid that year)</t>
        </is>
      </c>
      <c r="B156" s="8" t="inlineStr">
        <is>
          <t>Conservative</t>
        </is>
      </c>
      <c r="C156" s="12" t="n">
        <v>0</v>
      </c>
      <c r="D156" s="12" t="n">
        <v>24000</v>
      </c>
      <c r="E156" s="12" t="n">
        <v>36000</v>
      </c>
      <c r="F156" s="12" t="n">
        <v>48000</v>
      </c>
      <c r="G156" s="12" t="n">
        <v>60000</v>
      </c>
      <c r="H156" s="8" t="inlineStr">
        <is>
          <t>same ladder as founder 1</t>
        </is>
      </c>
    </row>
    <row r="157">
      <c r="A157" s="11" t="inlineStr"/>
      <c r="B157" s="8" t="inlineStr">
        <is>
          <t>Base</t>
        </is>
      </c>
      <c r="C157" s="12" t="n">
        <v>51000</v>
      </c>
      <c r="D157" s="12" t="n">
        <v>78000</v>
      </c>
      <c r="E157" s="12" t="n">
        <v>105000</v>
      </c>
      <c r="F157" s="12" t="n">
        <v>125000</v>
      </c>
      <c r="G157" s="12" t="n">
        <v>140000</v>
      </c>
      <c r="H157" s="7" t="n"/>
    </row>
    <row r="158">
      <c r="A158" s="11" t="inlineStr"/>
      <c r="B158" s="8" t="inlineStr">
        <is>
          <t>Fundable</t>
        </is>
      </c>
      <c r="C158" s="12" t="n">
        <v>66000</v>
      </c>
      <c r="D158" s="12" t="n">
        <v>100000</v>
      </c>
      <c r="E158" s="12" t="n">
        <v>130000</v>
      </c>
      <c r="F158" s="12" t="n">
        <v>160000</v>
      </c>
      <c r="G158" s="12" t="n">
        <v>190000</v>
      </c>
      <c r="H158" s="7" t="n"/>
    </row>
    <row r="159">
      <c r="A159" s="7" t="n"/>
      <c r="B159" s="15" t="inlineStr">
        <is>
          <t>Active</t>
        </is>
      </c>
      <c r="C159" s="21">
        <f>CHOOSE(Inputs!$B$29,C156,C157,C158)</f>
        <v>51000</v>
      </c>
      <c r="D159" s="21">
        <f>CHOOSE(Inputs!$B$29,D156,D157,D158)</f>
        <v>78000</v>
      </c>
      <c r="E159" s="21">
        <f>CHOOSE(Inputs!$B$29,E156,E157,E158)</f>
        <v>105000</v>
      </c>
      <c r="F159" s="21">
        <f>CHOOSE(Inputs!$B$29,F156,F157,F158)</f>
        <v>125000</v>
      </c>
      <c r="G159" s="21">
        <f>CHOOSE(Inputs!$B$29,G156,G157,G158)</f>
        <v>140000</v>
      </c>
      <c r="H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</row>
    <row r="161">
      <c r="A161" s="11" t="inlineStr">
        <is>
          <t>Payroll load (employer taxes, benefits, workers comp), % of salaries</t>
        </is>
      </c>
      <c r="B161" s="8" t="inlineStr">
        <is>
          <t>Conservative</t>
        </is>
      </c>
      <c r="C161" s="13" t="n">
        <v>0.1</v>
      </c>
      <c r="D161" s="13" t="n">
        <v>0.1</v>
      </c>
      <c r="E161" s="13" t="n">
        <v>0.12</v>
      </c>
      <c r="F161" s="13" t="n">
        <v>0.15</v>
      </c>
      <c r="G161" s="13" t="n">
        <v>0.15</v>
      </c>
      <c r="H161" s="8" t="inlineStr">
        <is>
          <t>~10% taxes only; 15–20% with health stipend and benefits</t>
        </is>
      </c>
    </row>
    <row r="162">
      <c r="A162" s="11" t="inlineStr"/>
      <c r="B162" s="8" t="inlineStr">
        <is>
          <t>Base</t>
        </is>
      </c>
      <c r="C162" s="13" t="n">
        <v>0.12</v>
      </c>
      <c r="D162" s="13" t="n">
        <v>0.15</v>
      </c>
      <c r="E162" s="13" t="n">
        <v>0.18</v>
      </c>
      <c r="F162" s="13" t="n">
        <v>0.2</v>
      </c>
      <c r="G162" s="13" t="n">
        <v>0.2</v>
      </c>
      <c r="H162" s="7" t="n"/>
    </row>
    <row r="163">
      <c r="A163" s="11" t="inlineStr"/>
      <c r="B163" s="8" t="inlineStr">
        <is>
          <t>Fundable</t>
        </is>
      </c>
      <c r="C163" s="13" t="n">
        <v>0.12</v>
      </c>
      <c r="D163" s="13" t="n">
        <v>0.15</v>
      </c>
      <c r="E163" s="13" t="n">
        <v>0.18</v>
      </c>
      <c r="F163" s="13" t="n">
        <v>0.2</v>
      </c>
      <c r="G163" s="13" t="n">
        <v>0.2</v>
      </c>
      <c r="H163" s="7" t="n"/>
    </row>
    <row r="164">
      <c r="A164" s="7" t="n"/>
      <c r="B164" s="15" t="inlineStr">
        <is>
          <t>Active</t>
        </is>
      </c>
      <c r="C164" s="20">
        <f>CHOOSE(Inputs!$B$29,C161,C162,C163)</f>
        <v>0.12</v>
      </c>
      <c r="D164" s="20">
        <f>CHOOSE(Inputs!$B$29,D161,D162,D163)</f>
        <v>0.15</v>
      </c>
      <c r="E164" s="20">
        <f>CHOOSE(Inputs!$B$29,E161,E162,E163)</f>
        <v>0.18</v>
      </c>
      <c r="F164" s="20">
        <f>CHOOSE(Inputs!$B$29,F161,F162,F163)</f>
        <v>0.2</v>
      </c>
      <c r="G164" s="20">
        <f>CHOOSE(Inputs!$B$29,G161,G162,G163)</f>
        <v>0.2</v>
      </c>
      <c r="H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</row>
    <row r="166">
      <c r="A166" s="11" t="inlineStr">
        <is>
          <t>Share of founder 1 (Rick) time on sales, partnerships and marketing</t>
        </is>
      </c>
      <c r="B166" s="8" t="inlineStr">
        <is>
          <t>Conservative</t>
        </is>
      </c>
      <c r="C166" s="13" t="n">
        <v>0.5</v>
      </c>
      <c r="D166" s="13" t="n">
        <v>0.5</v>
      </c>
      <c r="E166" s="13" t="n">
        <v>0.5</v>
      </c>
      <c r="F166" s="13" t="n">
        <v>0.5</v>
      </c>
      <c r="G166" s="13" t="n">
        <v>0.5</v>
      </c>
      <c r="H166" s="8" t="inlineStr">
        <is>
          <t>Product &amp; Business: half his pay sits in Marketing &amp; launch, half in Engineering &amp; platform on the budget</t>
        </is>
      </c>
    </row>
    <row r="167">
      <c r="A167" s="11" t="inlineStr"/>
      <c r="B167" s="8" t="inlineStr">
        <is>
          <t>Base</t>
        </is>
      </c>
      <c r="C167" s="13" t="n">
        <v>0.5</v>
      </c>
      <c r="D167" s="13" t="n">
        <v>0.5</v>
      </c>
      <c r="E167" s="13" t="n">
        <v>0.5</v>
      </c>
      <c r="F167" s="13" t="n">
        <v>0.5</v>
      </c>
      <c r="G167" s="13" t="n">
        <v>0.5</v>
      </c>
      <c r="H167" s="7" t="n"/>
    </row>
    <row r="168">
      <c r="A168" s="11" t="inlineStr"/>
      <c r="B168" s="8" t="inlineStr">
        <is>
          <t>Fundable</t>
        </is>
      </c>
      <c r="C168" s="13" t="n">
        <v>0.5</v>
      </c>
      <c r="D168" s="13" t="n">
        <v>0.5</v>
      </c>
      <c r="E168" s="13" t="n">
        <v>0.5</v>
      </c>
      <c r="F168" s="13" t="n">
        <v>0.5</v>
      </c>
      <c r="G168" s="13" t="n">
        <v>0.5</v>
      </c>
      <c r="H168" s="7" t="n"/>
    </row>
    <row r="169">
      <c r="A169" s="7" t="n"/>
      <c r="B169" s="15" t="inlineStr">
        <is>
          <t>Active</t>
        </is>
      </c>
      <c r="C169" s="20">
        <f>CHOOSE(Inputs!$B$29,C166,C167,C168)</f>
        <v>0.5</v>
      </c>
      <c r="D169" s="20">
        <f>CHOOSE(Inputs!$B$29,D166,D167,D168)</f>
        <v>0.5</v>
      </c>
      <c r="E169" s="20">
        <f>CHOOSE(Inputs!$B$29,E166,E167,E168)</f>
        <v>0.5</v>
      </c>
      <c r="F169" s="20">
        <f>CHOOSE(Inputs!$B$29,F166,F167,F168)</f>
        <v>0.5</v>
      </c>
      <c r="G169" s="20">
        <f>CHOOSE(Inputs!$B$29,G166,G167,G168)</f>
        <v>0.5</v>
      </c>
      <c r="H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</row>
    <row r="171">
      <c r="A171" s="11" t="inlineStr">
        <is>
          <t>Programs &amp; community hires, FTE</t>
        </is>
      </c>
      <c r="B171" s="8" t="inlineStr">
        <is>
          <t>Conservative</t>
        </is>
      </c>
      <c r="C171" s="18" t="n">
        <v>0</v>
      </c>
      <c r="D171" s="18" t="n">
        <v>0</v>
      </c>
      <c r="E171" s="18" t="n">
        <v>0.5</v>
      </c>
      <c r="F171" s="18" t="n">
        <v>1</v>
      </c>
      <c r="G171" s="18" t="n">
        <v>1</v>
      </c>
      <c r="H171" s="8" t="inlineStr">
        <is>
          <t>No full-time employee before both founders are full time. Base is a four-person company: one community &amp; partnerships lead from month 18 (half time in Y2, full from Y3); metros run themselves</t>
        </is>
      </c>
    </row>
    <row r="172">
      <c r="A172" s="11" t="inlineStr"/>
      <c r="B172" s="8" t="inlineStr">
        <is>
          <t>Base</t>
        </is>
      </c>
      <c r="C172" s="18" t="n">
        <v>0</v>
      </c>
      <c r="D172" s="18" t="n">
        <v>0.5</v>
      </c>
      <c r="E172" s="18" t="n">
        <v>1</v>
      </c>
      <c r="F172" s="18" t="n">
        <v>1</v>
      </c>
      <c r="G172" s="18" t="n">
        <v>1</v>
      </c>
      <c r="H172" s="7" t="n"/>
    </row>
    <row r="173">
      <c r="A173" s="11" t="inlineStr"/>
      <c r="B173" s="8" t="inlineStr">
        <is>
          <t>Fundable</t>
        </is>
      </c>
      <c r="C173" s="18" t="n">
        <v>0.5</v>
      </c>
      <c r="D173" s="18" t="n">
        <v>2</v>
      </c>
      <c r="E173" s="18" t="n">
        <v>3</v>
      </c>
      <c r="F173" s="18" t="n">
        <v>4</v>
      </c>
      <c r="G173" s="18" t="n">
        <v>6</v>
      </c>
      <c r="H173" s="7" t="n"/>
    </row>
    <row r="174">
      <c r="A174" s="7" t="n"/>
      <c r="B174" s="15" t="inlineStr">
        <is>
          <t>Active</t>
        </is>
      </c>
      <c r="C174" s="19">
        <f>CHOOSE(Inputs!$B$29,C171,C172,C173)</f>
        <v>0</v>
      </c>
      <c r="D174" s="19">
        <f>CHOOSE(Inputs!$B$29,D171,D172,D173)</f>
        <v>0.5</v>
      </c>
      <c r="E174" s="19">
        <f>CHOOSE(Inputs!$B$29,E171,E172,E173)</f>
        <v>1</v>
      </c>
      <c r="F174" s="19">
        <f>CHOOSE(Inputs!$B$29,F171,F172,F173)</f>
        <v>1</v>
      </c>
      <c r="G174" s="19">
        <f>CHOOSE(Inputs!$B$29,G171,G172,G173)</f>
        <v>1</v>
      </c>
      <c r="H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</row>
    <row r="176">
      <c r="A176" s="11" t="inlineStr">
        <is>
          <t>Member support hires, FTE</t>
        </is>
      </c>
      <c r="B176" s="8" t="inlineStr">
        <is>
          <t>Conservative</t>
        </is>
      </c>
      <c r="C176" s="18" t="n">
        <v>0</v>
      </c>
      <c r="D176" s="18" t="n">
        <v>0</v>
      </c>
      <c r="E176" s="18" t="n">
        <v>0</v>
      </c>
      <c r="F176" s="18" t="n">
        <v>0.5</v>
      </c>
      <c r="G176" s="18" t="n">
        <v>1</v>
      </c>
      <c r="H176" s="8" t="inlineStr">
        <is>
          <t>Base: no support hire; the community lead and part-time coverage handle it, with the support tools budget below</t>
        </is>
      </c>
    </row>
    <row r="177">
      <c r="A177" s="11" t="inlineStr"/>
      <c r="B177" s="8" t="inlineStr">
        <is>
          <t>Base</t>
        </is>
      </c>
      <c r="C177" s="18" t="n">
        <v>0</v>
      </c>
      <c r="D177" s="18" t="n">
        <v>0</v>
      </c>
      <c r="E177" s="18" t="n">
        <v>0</v>
      </c>
      <c r="F177" s="18" t="n">
        <v>0</v>
      </c>
      <c r="G177" s="18" t="n">
        <v>0</v>
      </c>
      <c r="H177" s="7" t="n"/>
    </row>
    <row r="178">
      <c r="A178" s="11" t="inlineStr"/>
      <c r="B178" s="8" t="inlineStr">
        <is>
          <t>Fundable</t>
        </is>
      </c>
      <c r="C178" s="18" t="n">
        <v>0.5</v>
      </c>
      <c r="D178" s="18" t="n">
        <v>1</v>
      </c>
      <c r="E178" s="18" t="n">
        <v>1</v>
      </c>
      <c r="F178" s="18" t="n">
        <v>2</v>
      </c>
      <c r="G178" s="18" t="n">
        <v>3</v>
      </c>
      <c r="H178" s="7" t="n"/>
    </row>
    <row r="179">
      <c r="A179" s="7" t="n"/>
      <c r="B179" s="15" t="inlineStr">
        <is>
          <t>Active</t>
        </is>
      </c>
      <c r="C179" s="19">
        <f>CHOOSE(Inputs!$B$29,C176,C177,C178)</f>
        <v>0</v>
      </c>
      <c r="D179" s="19">
        <f>CHOOSE(Inputs!$B$29,D176,D177,D178)</f>
        <v>0</v>
      </c>
      <c r="E179" s="19">
        <f>CHOOSE(Inputs!$B$29,E176,E177,E178)</f>
        <v>0</v>
      </c>
      <c r="F179" s="19">
        <f>CHOOSE(Inputs!$B$29,F176,F177,F178)</f>
        <v>0</v>
      </c>
      <c r="G179" s="19">
        <f>CHOOSE(Inputs!$B$29,G176,G177,G178)</f>
        <v>0</v>
      </c>
      <c r="H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</row>
    <row r="181">
      <c r="A181" s="11" t="inlineStr">
        <is>
          <t>Marketing and launch help, FTE (part-time before full time)</t>
        </is>
      </c>
      <c r="B181" s="8" t="inlineStr">
        <is>
          <t>Conservative</t>
        </is>
      </c>
      <c r="C181" s="18" t="n">
        <v>0</v>
      </c>
      <c r="D181" s="18" t="n">
        <v>0</v>
      </c>
      <c r="E181" s="18" t="n">
        <v>0</v>
      </c>
      <c r="F181" s="18" t="n">
        <v>0</v>
      </c>
      <c r="G181" s="18" t="n">
        <v>0.5</v>
      </c>
      <c r="H181" s="8" t="inlineStr">
        <is>
          <t>Base: a quarter-time launch and content helper from month 1, half-time in Y2, the second and last hire full time from Y3 (launches and metro support)</t>
        </is>
      </c>
    </row>
    <row r="182">
      <c r="A182" s="11" t="inlineStr"/>
      <c r="B182" s="8" t="inlineStr">
        <is>
          <t>Base</t>
        </is>
      </c>
      <c r="C182" s="18" t="n">
        <v>0.25</v>
      </c>
      <c r="D182" s="18" t="n">
        <v>0.5</v>
      </c>
      <c r="E182" s="18" t="n">
        <v>1</v>
      </c>
      <c r="F182" s="18" t="n">
        <v>1</v>
      </c>
      <c r="G182" s="18" t="n">
        <v>1</v>
      </c>
      <c r="H182" s="7" t="n"/>
    </row>
    <row r="183">
      <c r="A183" s="11" t="inlineStr"/>
      <c r="B183" s="8" t="inlineStr">
        <is>
          <t>Fundable</t>
        </is>
      </c>
      <c r="C183" s="18" t="n">
        <v>0.5</v>
      </c>
      <c r="D183" s="18" t="n">
        <v>1</v>
      </c>
      <c r="E183" s="18" t="n">
        <v>1</v>
      </c>
      <c r="F183" s="18" t="n">
        <v>2</v>
      </c>
      <c r="G183" s="18" t="n">
        <v>2</v>
      </c>
      <c r="H183" s="7" t="n"/>
    </row>
    <row r="184">
      <c r="A184" s="7" t="n"/>
      <c r="B184" s="15" t="inlineStr">
        <is>
          <t>Active</t>
        </is>
      </c>
      <c r="C184" s="19">
        <f>CHOOSE(Inputs!$B$29,C181,C182,C183)</f>
        <v>0.25</v>
      </c>
      <c r="D184" s="19">
        <f>CHOOSE(Inputs!$B$29,D181,D182,D183)</f>
        <v>0.5</v>
      </c>
      <c r="E184" s="19">
        <f>CHOOSE(Inputs!$B$29,E181,E182,E183)</f>
        <v>1</v>
      </c>
      <c r="F184" s="19">
        <f>CHOOSE(Inputs!$B$29,F181,F182,F183)</f>
        <v>1</v>
      </c>
      <c r="G184" s="19">
        <f>CHOOSE(Inputs!$B$29,G181,G182,G183)</f>
        <v>1</v>
      </c>
      <c r="H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</row>
    <row r="186">
      <c r="A186" s="11" t="inlineStr">
        <is>
          <t>Engineering hires, FTE</t>
        </is>
      </c>
      <c r="B186" s="8" t="inlineStr">
        <is>
          <t>Conservative</t>
        </is>
      </c>
      <c r="C186" s="18" t="n">
        <v>0</v>
      </c>
      <c r="D186" s="18" t="n">
        <v>0</v>
      </c>
      <c r="E186" s="18" t="n">
        <v>0</v>
      </c>
      <c r="F186" s="18" t="n">
        <v>0</v>
      </c>
      <c r="G186" s="18" t="n">
        <v>0.5</v>
      </c>
      <c r="H186" s="8" t="inlineStr">
        <is>
          <t>Base: Rick is the engineering team, with contractors (line below) instead of a hire</t>
        </is>
      </c>
    </row>
    <row r="187">
      <c r="A187" s="11" t="inlineStr"/>
      <c r="B187" s="8" t="inlineStr">
        <is>
          <t>Base</t>
        </is>
      </c>
      <c r="C187" s="18" t="n">
        <v>0</v>
      </c>
      <c r="D187" s="18" t="n">
        <v>0</v>
      </c>
      <c r="E187" s="18" t="n">
        <v>0</v>
      </c>
      <c r="F187" s="18" t="n">
        <v>0</v>
      </c>
      <c r="G187" s="18" t="n">
        <v>0</v>
      </c>
      <c r="H187" s="7" t="n"/>
    </row>
    <row r="188">
      <c r="A188" s="11" t="inlineStr"/>
      <c r="B188" s="8" t="inlineStr">
        <is>
          <t>Fundable</t>
        </is>
      </c>
      <c r="C188" s="18" t="n">
        <v>0</v>
      </c>
      <c r="D188" s="18" t="n">
        <v>1</v>
      </c>
      <c r="E188" s="18" t="n">
        <v>2</v>
      </c>
      <c r="F188" s="18" t="n">
        <v>3</v>
      </c>
      <c r="G188" s="18" t="n">
        <v>4</v>
      </c>
      <c r="H188" s="7" t="n"/>
    </row>
    <row r="189">
      <c r="A189" s="7" t="n"/>
      <c r="B189" s="15" t="inlineStr">
        <is>
          <t>Active</t>
        </is>
      </c>
      <c r="C189" s="19">
        <f>CHOOSE(Inputs!$B$29,C186,C187,C188)</f>
        <v>0</v>
      </c>
      <c r="D189" s="19">
        <f>CHOOSE(Inputs!$B$29,D186,D187,D188)</f>
        <v>0</v>
      </c>
      <c r="E189" s="19">
        <f>CHOOSE(Inputs!$B$29,E186,E187,E188)</f>
        <v>0</v>
      </c>
      <c r="F189" s="19">
        <f>CHOOSE(Inputs!$B$29,F186,F187,F188)</f>
        <v>0</v>
      </c>
      <c r="G189" s="19">
        <f>CHOOSE(Inputs!$B$29,G186,G187,G188)</f>
        <v>0</v>
      </c>
      <c r="H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</row>
    <row r="191">
      <c r="A191" s="11" t="inlineStr">
        <is>
          <t>Operations / finance hires, FTE</t>
        </is>
      </c>
      <c r="B191" s="8" t="inlineStr">
        <is>
          <t>Conservative</t>
        </is>
      </c>
      <c r="C191" s="18" t="n">
        <v>0</v>
      </c>
      <c r="D191" s="18" t="n">
        <v>0</v>
      </c>
      <c r="E191" s="18" t="n">
        <v>0</v>
      </c>
      <c r="F191" s="18" t="n">
        <v>0</v>
      </c>
      <c r="G191" s="18" t="n">
        <v>0</v>
      </c>
      <c r="H191" s="8" t="inlineStr">
        <is>
          <t>Base: bookkeeping and admin outsourced (accounting line below)</t>
        </is>
      </c>
    </row>
    <row r="192">
      <c r="A192" s="11" t="inlineStr"/>
      <c r="B192" s="8" t="inlineStr">
        <is>
          <t>Base</t>
        </is>
      </c>
      <c r="C192" s="18" t="n">
        <v>0</v>
      </c>
      <c r="D192" s="18" t="n">
        <v>0</v>
      </c>
      <c r="E192" s="18" t="n">
        <v>0</v>
      </c>
      <c r="F192" s="18" t="n">
        <v>0</v>
      </c>
      <c r="G192" s="18" t="n">
        <v>0</v>
      </c>
      <c r="H192" s="7" t="n"/>
    </row>
    <row r="193">
      <c r="A193" s="11" t="inlineStr"/>
      <c r="B193" s="8" t="inlineStr">
        <is>
          <t>Fundable</t>
        </is>
      </c>
      <c r="C193" s="18" t="n">
        <v>0</v>
      </c>
      <c r="D193" s="18" t="n">
        <v>0</v>
      </c>
      <c r="E193" s="18" t="n">
        <v>0.5</v>
      </c>
      <c r="F193" s="18" t="n">
        <v>1</v>
      </c>
      <c r="G193" s="18" t="n">
        <v>1</v>
      </c>
      <c r="H193" s="7" t="n"/>
    </row>
    <row r="194">
      <c r="A194" s="7" t="n"/>
      <c r="B194" s="15" t="inlineStr">
        <is>
          <t>Active</t>
        </is>
      </c>
      <c r="C194" s="19">
        <f>CHOOSE(Inputs!$B$29,C191,C192,C193)</f>
        <v>0</v>
      </c>
      <c r="D194" s="19">
        <f>CHOOSE(Inputs!$B$29,D191,D192,D193)</f>
        <v>0</v>
      </c>
      <c r="E194" s="19">
        <f>CHOOSE(Inputs!$B$29,E191,E192,E193)</f>
        <v>0</v>
      </c>
      <c r="F194" s="19">
        <f>CHOOSE(Inputs!$B$29,F191,F192,F193)</f>
        <v>0</v>
      </c>
      <c r="G194" s="19">
        <f>CHOOSE(Inputs!$B$29,G191,G192,G193)</f>
        <v>0</v>
      </c>
      <c r="H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</row>
    <row r="196">
      <c r="A196" s="15" t="inlineStr">
        <is>
          <t>PROGRAMS &amp; COMMUNITY (non-payroll)</t>
        </is>
      </c>
      <c r="B196" s="7" t="n"/>
      <c r="C196" s="7" t="n"/>
      <c r="D196" s="7" t="n"/>
      <c r="E196" s="7" t="n"/>
      <c r="F196" s="7" t="n"/>
      <c r="G196" s="7" t="n"/>
      <c r="H196" s="7" t="n"/>
    </row>
    <row r="197">
      <c r="A197" s="11" t="inlineStr">
        <is>
          <t>Gathering stipends, venues, hospitality, $/year</t>
        </is>
      </c>
      <c r="B197" s="8" t="inlineStr">
        <is>
          <t>Conservative</t>
        </is>
      </c>
      <c r="C197" s="12" t="n">
        <v>6000</v>
      </c>
      <c r="D197" s="12" t="n">
        <v>8000</v>
      </c>
      <c r="E197" s="12" t="n">
        <v>10000</v>
      </c>
      <c r="F197" s="12" t="n">
        <v>12000</v>
      </c>
      <c r="G197" s="12" t="n">
        <v>15000</v>
      </c>
      <c r="H197" s="8" t="inlineStr">
        <is>
          <t>Monthly tables and cohort gatherings across communities</t>
        </is>
      </c>
    </row>
    <row r="198">
      <c r="A198" s="11" t="inlineStr"/>
      <c r="B198" s="8" t="inlineStr">
        <is>
          <t>Base</t>
        </is>
      </c>
      <c r="C198" s="12" t="n">
        <v>8000</v>
      </c>
      <c r="D198" s="12" t="n">
        <v>15000</v>
      </c>
      <c r="E198" s="12" t="n">
        <v>25000</v>
      </c>
      <c r="F198" s="12" t="n">
        <v>40000</v>
      </c>
      <c r="G198" s="12" t="n">
        <v>60000</v>
      </c>
      <c r="H198" s="7" t="n"/>
    </row>
    <row r="199">
      <c r="A199" s="11" t="inlineStr"/>
      <c r="B199" s="8" t="inlineStr">
        <is>
          <t>Fundable</t>
        </is>
      </c>
      <c r="C199" s="12" t="n">
        <v>12000</v>
      </c>
      <c r="D199" s="12" t="n">
        <v>25000</v>
      </c>
      <c r="E199" s="12" t="n">
        <v>45000</v>
      </c>
      <c r="F199" s="12" t="n">
        <v>75000</v>
      </c>
      <c r="G199" s="12" t="n">
        <v>110000</v>
      </c>
      <c r="H199" s="7" t="n"/>
    </row>
    <row r="200">
      <c r="A200" s="7" t="n"/>
      <c r="B200" s="15" t="inlineStr">
        <is>
          <t>Active</t>
        </is>
      </c>
      <c r="C200" s="21">
        <f>CHOOSE(Inputs!$B$29,C197,C198,C199)</f>
        <v>8000</v>
      </c>
      <c r="D200" s="21">
        <f>CHOOSE(Inputs!$B$29,D197,D198,D199)</f>
        <v>15000</v>
      </c>
      <c r="E200" s="21">
        <f>CHOOSE(Inputs!$B$29,E197,E198,E199)</f>
        <v>25000</v>
      </c>
      <c r="F200" s="21">
        <f>CHOOSE(Inputs!$B$29,F197,F198,F199)</f>
        <v>40000</v>
      </c>
      <c r="G200" s="21">
        <f>CHOOSE(Inputs!$B$29,G197,G198,G199)</f>
        <v>60000</v>
      </c>
      <c r="H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</row>
    <row r="202">
      <c r="A202" s="11" t="inlineStr">
        <is>
          <t>Fellowship program administration (jury honoraria, materials), $/year</t>
        </is>
      </c>
      <c r="B202" s="8" t="inlineStr">
        <is>
          <t>Conservative</t>
        </is>
      </c>
      <c r="C202" s="12" t="n">
        <v>1000</v>
      </c>
      <c r="D202" s="12" t="n">
        <v>2000</v>
      </c>
      <c r="E202" s="12" t="n">
        <v>3000</v>
      </c>
      <c r="F202" s="12" t="n">
        <v>4000</v>
      </c>
      <c r="G202" s="12" t="n">
        <v>5000</v>
      </c>
      <c r="H202" s="8" t="inlineStr">
        <is>
          <t>The program itself is funded through the 501(c)(3) partner; this is the platform's cost to administer it</t>
        </is>
      </c>
    </row>
    <row r="203">
      <c r="A203" s="11" t="inlineStr"/>
      <c r="B203" s="8" t="inlineStr">
        <is>
          <t>Base</t>
        </is>
      </c>
      <c r="C203" s="12" t="n">
        <v>2000</v>
      </c>
      <c r="D203" s="12" t="n">
        <v>5000</v>
      </c>
      <c r="E203" s="12" t="n">
        <v>10000</v>
      </c>
      <c r="F203" s="12" t="n">
        <v>15000</v>
      </c>
      <c r="G203" s="12" t="n">
        <v>20000</v>
      </c>
      <c r="H203" s="7" t="n"/>
    </row>
    <row r="204">
      <c r="A204" s="11" t="inlineStr"/>
      <c r="B204" s="8" t="inlineStr">
        <is>
          <t>Fundable</t>
        </is>
      </c>
      <c r="C204" s="12" t="n">
        <v>3000</v>
      </c>
      <c r="D204" s="12" t="n">
        <v>8000</v>
      </c>
      <c r="E204" s="12" t="n">
        <v>15000</v>
      </c>
      <c r="F204" s="12" t="n">
        <v>25000</v>
      </c>
      <c r="G204" s="12" t="n">
        <v>40000</v>
      </c>
      <c r="H204" s="7" t="n"/>
    </row>
    <row r="205">
      <c r="A205" s="7" t="n"/>
      <c r="B205" s="15" t="inlineStr">
        <is>
          <t>Active</t>
        </is>
      </c>
      <c r="C205" s="21">
        <f>CHOOSE(Inputs!$B$29,C202,C203,C204)</f>
        <v>2000</v>
      </c>
      <c r="D205" s="21">
        <f>CHOOSE(Inputs!$B$29,D202,D203,D204)</f>
        <v>5000</v>
      </c>
      <c r="E205" s="21">
        <f>CHOOSE(Inputs!$B$29,E202,E203,E204)</f>
        <v>10000</v>
      </c>
      <c r="F205" s="21">
        <f>CHOOSE(Inputs!$B$29,F202,F203,F204)</f>
        <v>15000</v>
      </c>
      <c r="G205" s="21">
        <f>CHOOSE(Inputs!$B$29,G202,G203,G204)</f>
        <v>20000</v>
      </c>
      <c r="H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</row>
    <row r="207">
      <c r="A207" s="11" t="inlineStr">
        <is>
          <t>Community coordinator rate, $/hour (Garden hours × this rate)</t>
        </is>
      </c>
      <c r="B207" s="8" t="inlineStr">
        <is>
          <t>Conservative</t>
        </is>
      </c>
      <c r="C207" s="12" t="n">
        <v>30</v>
      </c>
      <c r="D207" s="12" t="n">
        <v>30</v>
      </c>
      <c r="E207" s="12" t="n">
        <v>31</v>
      </c>
      <c r="F207" s="12" t="n">
        <v>32</v>
      </c>
      <c r="G207" s="12" t="n">
        <v>33</v>
      </c>
      <c r="H207" s="8" t="inlineStr">
        <is>
          <t>ziprecruiter avg part-time community manager $28.34 (Dec 2025)</t>
        </is>
      </c>
    </row>
    <row r="208">
      <c r="A208" s="11" t="inlineStr"/>
      <c r="B208" s="8" t="inlineStr">
        <is>
          <t>Base</t>
        </is>
      </c>
      <c r="C208" s="12" t="n">
        <v>30</v>
      </c>
      <c r="D208" s="12" t="n">
        <v>30</v>
      </c>
      <c r="E208" s="12" t="n">
        <v>31</v>
      </c>
      <c r="F208" s="12" t="n">
        <v>32</v>
      </c>
      <c r="G208" s="12" t="n">
        <v>33</v>
      </c>
      <c r="H208" s="7" t="n"/>
    </row>
    <row r="209">
      <c r="A209" s="11" t="inlineStr"/>
      <c r="B209" s="8" t="inlineStr">
        <is>
          <t>Fundable</t>
        </is>
      </c>
      <c r="C209" s="12" t="n">
        <v>30</v>
      </c>
      <c r="D209" s="12" t="n">
        <v>30</v>
      </c>
      <c r="E209" s="12" t="n">
        <v>31</v>
      </c>
      <c r="F209" s="12" t="n">
        <v>32</v>
      </c>
      <c r="G209" s="12" t="n">
        <v>33</v>
      </c>
      <c r="H209" s="7" t="n"/>
    </row>
    <row r="210">
      <c r="A210" s="7" t="n"/>
      <c r="B210" s="15" t="inlineStr">
        <is>
          <t>Active</t>
        </is>
      </c>
      <c r="C210" s="21">
        <f>CHOOSE(Inputs!$B$29,C207,C208,C209)</f>
        <v>30</v>
      </c>
      <c r="D210" s="21">
        <f>CHOOSE(Inputs!$B$29,D207,D208,D209)</f>
        <v>30</v>
      </c>
      <c r="E210" s="21">
        <f>CHOOSE(Inputs!$B$29,E207,E208,E209)</f>
        <v>31</v>
      </c>
      <c r="F210" s="21">
        <f>CHOOSE(Inputs!$B$29,F207,F208,F209)</f>
        <v>32</v>
      </c>
      <c r="G210" s="21">
        <f>CHOOSE(Inputs!$B$29,G207,G208,G209)</f>
        <v>33</v>
      </c>
      <c r="H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</row>
    <row r="212">
      <c r="A212" s="15" t="inlineStr">
        <is>
          <t>MARKETING &amp; LAUNCH (non-payroll)</t>
        </is>
      </c>
      <c r="B212" s="7" t="n"/>
      <c r="C212" s="7" t="n"/>
      <c r="D212" s="7" t="n"/>
      <c r="E212" s="7" t="n"/>
      <c r="F212" s="7" t="n"/>
      <c r="G212" s="7" t="n"/>
      <c r="H212" s="7" t="n"/>
    </row>
    <row r="213">
      <c r="A213" s="11" t="inlineStr">
        <is>
          <t>Launch and annual events, $/year</t>
        </is>
      </c>
      <c r="B213" s="8" t="inlineStr">
        <is>
          <t>Conservative</t>
        </is>
      </c>
      <c r="C213" s="12" t="n">
        <v>12000</v>
      </c>
      <c r="D213" s="12" t="n">
        <v>10000</v>
      </c>
      <c r="E213" s="12" t="n">
        <v>12000</v>
      </c>
      <c r="F213" s="12" t="n">
        <v>15000</v>
      </c>
      <c r="G213" s="12" t="n">
        <v>18000</v>
      </c>
      <c r="H213" s="8" t="inlineStr">
        <is>
          <t>Launch events after the close; Nov 6 (~$12k) itself is paid from current cash and sponsorships, before the round</t>
        </is>
      </c>
    </row>
    <row r="214">
      <c r="A214" s="11" t="inlineStr"/>
      <c r="B214" s="8" t="inlineStr">
        <is>
          <t>Base</t>
        </is>
      </c>
      <c r="C214" s="12" t="n">
        <v>12000</v>
      </c>
      <c r="D214" s="12" t="n">
        <v>18000</v>
      </c>
      <c r="E214" s="12" t="n">
        <v>25000</v>
      </c>
      <c r="F214" s="12" t="n">
        <v>35000</v>
      </c>
      <c r="G214" s="12" t="n">
        <v>45000</v>
      </c>
      <c r="H214" s="7" t="n"/>
    </row>
    <row r="215">
      <c r="A215" s="11" t="inlineStr"/>
      <c r="B215" s="8" t="inlineStr">
        <is>
          <t>Fundable</t>
        </is>
      </c>
      <c r="C215" s="12" t="n">
        <v>15000</v>
      </c>
      <c r="D215" s="12" t="n">
        <v>30000</v>
      </c>
      <c r="E215" s="12" t="n">
        <v>50000</v>
      </c>
      <c r="F215" s="12" t="n">
        <v>70000</v>
      </c>
      <c r="G215" s="12" t="n">
        <v>90000</v>
      </c>
      <c r="H215" s="7" t="n"/>
    </row>
    <row r="216">
      <c r="A216" s="7" t="n"/>
      <c r="B216" s="15" t="inlineStr">
        <is>
          <t>Active</t>
        </is>
      </c>
      <c r="C216" s="21">
        <f>CHOOSE(Inputs!$B$29,C213,C214,C215)</f>
        <v>12000</v>
      </c>
      <c r="D216" s="21">
        <f>CHOOSE(Inputs!$B$29,D213,D214,D215)</f>
        <v>18000</v>
      </c>
      <c r="E216" s="21">
        <f>CHOOSE(Inputs!$B$29,E213,E214,E215)</f>
        <v>25000</v>
      </c>
      <c r="F216" s="21">
        <f>CHOOSE(Inputs!$B$29,F213,F214,F215)</f>
        <v>35000</v>
      </c>
      <c r="G216" s="21">
        <f>CHOOSE(Inputs!$B$29,G213,G214,G215)</f>
        <v>45000</v>
      </c>
      <c r="H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</row>
    <row r="218">
      <c r="A218" s="11" t="inlineStr">
        <is>
          <t>Film and story production, $/year</t>
        </is>
      </c>
      <c r="B218" s="8" t="inlineStr">
        <is>
          <t>Conservative</t>
        </is>
      </c>
      <c r="C218" s="12" t="n">
        <v>10000</v>
      </c>
      <c r="D218" s="12" t="n">
        <v>5000</v>
      </c>
      <c r="E218" s="12" t="n">
        <v>5000</v>
      </c>
      <c r="F218" s="12" t="n">
        <v>8000</v>
      </c>
      <c r="G218" s="12" t="n">
        <v>10000</v>
      </c>
      <c r="H218" s="8" t="inlineStr">
        <is>
          <t>Testimonial film series ~$10k in Y1</t>
        </is>
      </c>
    </row>
    <row r="219">
      <c r="A219" s="11" t="inlineStr"/>
      <c r="B219" s="8" t="inlineStr">
        <is>
          <t>Base</t>
        </is>
      </c>
      <c r="C219" s="12" t="n">
        <v>10000</v>
      </c>
      <c r="D219" s="12" t="n">
        <v>12000</v>
      </c>
      <c r="E219" s="12" t="n">
        <v>15000</v>
      </c>
      <c r="F219" s="12" t="n">
        <v>20000</v>
      </c>
      <c r="G219" s="12" t="n">
        <v>20000</v>
      </c>
      <c r="H219" s="7" t="n"/>
    </row>
    <row r="220">
      <c r="A220" s="11" t="inlineStr"/>
      <c r="B220" s="8" t="inlineStr">
        <is>
          <t>Fundable</t>
        </is>
      </c>
      <c r="C220" s="12" t="n">
        <v>10000</v>
      </c>
      <c r="D220" s="12" t="n">
        <v>20000</v>
      </c>
      <c r="E220" s="12" t="n">
        <v>30000</v>
      </c>
      <c r="F220" s="12" t="n">
        <v>40000</v>
      </c>
      <c r="G220" s="12" t="n">
        <v>50000</v>
      </c>
      <c r="H220" s="7" t="n"/>
    </row>
    <row r="221">
      <c r="A221" s="7" t="n"/>
      <c r="B221" s="15" t="inlineStr">
        <is>
          <t>Active</t>
        </is>
      </c>
      <c r="C221" s="21">
        <f>CHOOSE(Inputs!$B$29,C218,C219,C220)</f>
        <v>10000</v>
      </c>
      <c r="D221" s="21">
        <f>CHOOSE(Inputs!$B$29,D218,D219,D220)</f>
        <v>12000</v>
      </c>
      <c r="E221" s="21">
        <f>CHOOSE(Inputs!$B$29,E218,E219,E220)</f>
        <v>15000</v>
      </c>
      <c r="F221" s="21">
        <f>CHOOSE(Inputs!$B$29,F218,F219,F220)</f>
        <v>20000</v>
      </c>
      <c r="G221" s="21">
        <f>CHOOSE(Inputs!$B$29,G218,G219,G220)</f>
        <v>20000</v>
      </c>
      <c r="H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</row>
    <row r="223">
      <c r="A223" s="11" t="inlineStr">
        <is>
          <t>Content, design, web, paid and partnership outreach, $/year</t>
        </is>
      </c>
      <c r="B223" s="8" t="inlineStr">
        <is>
          <t>Conservative</t>
        </is>
      </c>
      <c r="C223" s="12" t="n">
        <v>3000</v>
      </c>
      <c r="D223" s="12" t="n">
        <v>6000</v>
      </c>
      <c r="E223" s="12" t="n">
        <v>10000</v>
      </c>
      <c r="F223" s="12" t="n">
        <v>15000</v>
      </c>
      <c r="G223" s="12" t="n">
        <v>20000</v>
      </c>
      <c r="H223" s="7" t="n"/>
    </row>
    <row r="224">
      <c r="A224" s="11" t="inlineStr"/>
      <c r="B224" s="8" t="inlineStr">
        <is>
          <t>Base</t>
        </is>
      </c>
      <c r="C224" s="12" t="n">
        <v>5000</v>
      </c>
      <c r="D224" s="12" t="n">
        <v>15000</v>
      </c>
      <c r="E224" s="12" t="n">
        <v>35000</v>
      </c>
      <c r="F224" s="12" t="n">
        <v>60000</v>
      </c>
      <c r="G224" s="12" t="n">
        <v>90000</v>
      </c>
      <c r="H224" s="7" t="n"/>
    </row>
    <row r="225">
      <c r="A225" s="11" t="inlineStr"/>
      <c r="B225" s="8" t="inlineStr">
        <is>
          <t>Fundable</t>
        </is>
      </c>
      <c r="C225" s="12" t="n">
        <v>10000</v>
      </c>
      <c r="D225" s="12" t="n">
        <v>30000</v>
      </c>
      <c r="E225" s="12" t="n">
        <v>70000</v>
      </c>
      <c r="F225" s="12" t="n">
        <v>120000</v>
      </c>
      <c r="G225" s="12" t="n">
        <v>180000</v>
      </c>
      <c r="H225" s="7" t="n"/>
    </row>
    <row r="226">
      <c r="A226" s="7" t="n"/>
      <c r="B226" s="15" t="inlineStr">
        <is>
          <t>Active</t>
        </is>
      </c>
      <c r="C226" s="21">
        <f>CHOOSE(Inputs!$B$29,C223,C224,C225)</f>
        <v>5000</v>
      </c>
      <c r="D226" s="21">
        <f>CHOOSE(Inputs!$B$29,D223,D224,D225)</f>
        <v>15000</v>
      </c>
      <c r="E226" s="21">
        <f>CHOOSE(Inputs!$B$29,E223,E224,E225)</f>
        <v>35000</v>
      </c>
      <c r="F226" s="21">
        <f>CHOOSE(Inputs!$B$29,F223,F224,F225)</f>
        <v>60000</v>
      </c>
      <c r="G226" s="21">
        <f>CHOOSE(Inputs!$B$29,G223,G224,G225)</f>
        <v>90000</v>
      </c>
      <c r="H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</row>
    <row r="228">
      <c r="A228" s="11" t="inlineStr">
        <is>
          <t>Partnerships travel and conferences, $/year</t>
        </is>
      </c>
      <c r="B228" s="8" t="inlineStr">
        <is>
          <t>Conservative</t>
        </is>
      </c>
      <c r="C228" s="12" t="n">
        <v>1000</v>
      </c>
      <c r="D228" s="12" t="n">
        <v>2000</v>
      </c>
      <c r="E228" s="12" t="n">
        <v>4000</v>
      </c>
      <c r="F228" s="12" t="n">
        <v>6000</v>
      </c>
      <c r="G228" s="12" t="n">
        <v>8000</v>
      </c>
      <c r="H228" s="8" t="inlineStr">
        <is>
          <t>Second and third metros from Y2</t>
        </is>
      </c>
    </row>
    <row r="229">
      <c r="A229" s="11" t="inlineStr"/>
      <c r="B229" s="8" t="inlineStr">
        <is>
          <t>Base</t>
        </is>
      </c>
      <c r="C229" s="12" t="n">
        <v>2000</v>
      </c>
      <c r="D229" s="12" t="n">
        <v>6000</v>
      </c>
      <c r="E229" s="12" t="n">
        <v>12000</v>
      </c>
      <c r="F229" s="12" t="n">
        <v>20000</v>
      </c>
      <c r="G229" s="12" t="n">
        <v>30000</v>
      </c>
      <c r="H229" s="7" t="n"/>
    </row>
    <row r="230">
      <c r="A230" s="11" t="inlineStr"/>
      <c r="B230" s="8" t="inlineStr">
        <is>
          <t>Fundable</t>
        </is>
      </c>
      <c r="C230" s="12" t="n">
        <v>4000</v>
      </c>
      <c r="D230" s="12" t="n">
        <v>10000</v>
      </c>
      <c r="E230" s="12" t="n">
        <v>20000</v>
      </c>
      <c r="F230" s="12" t="n">
        <v>35000</v>
      </c>
      <c r="G230" s="12" t="n">
        <v>50000</v>
      </c>
      <c r="H230" s="7" t="n"/>
    </row>
    <row r="231">
      <c r="A231" s="7" t="n"/>
      <c r="B231" s="15" t="inlineStr">
        <is>
          <t>Active</t>
        </is>
      </c>
      <c r="C231" s="21">
        <f>CHOOSE(Inputs!$B$29,C228,C229,C230)</f>
        <v>2000</v>
      </c>
      <c r="D231" s="21">
        <f>CHOOSE(Inputs!$B$29,D228,D229,D230)</f>
        <v>6000</v>
      </c>
      <c r="E231" s="21">
        <f>CHOOSE(Inputs!$B$29,E228,E229,E230)</f>
        <v>12000</v>
      </c>
      <c r="F231" s="21">
        <f>CHOOSE(Inputs!$B$29,F228,F229,F230)</f>
        <v>20000</v>
      </c>
      <c r="G231" s="21">
        <f>CHOOSE(Inputs!$B$29,G228,G229,G230)</f>
        <v>30000</v>
      </c>
      <c r="H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</row>
    <row r="233">
      <c r="A233" s="15" t="inlineStr">
        <is>
          <t>SUPPORT (non-payroll)</t>
        </is>
      </c>
      <c r="B233" s="7" t="n"/>
      <c r="C233" s="7" t="n"/>
      <c r="D233" s="7" t="n"/>
      <c r="E233" s="7" t="n"/>
      <c r="F233" s="7" t="n"/>
      <c r="G233" s="7" t="n"/>
      <c r="H233" s="7" t="n"/>
    </row>
    <row r="234">
      <c r="A234" s="11" t="inlineStr">
        <is>
          <t>Support tools and part-time coverage before a hire, $/year</t>
        </is>
      </c>
      <c r="B234" s="8" t="inlineStr">
        <is>
          <t>Conservative</t>
        </is>
      </c>
      <c r="C234" s="12" t="n">
        <v>1000</v>
      </c>
      <c r="D234" s="12" t="n">
        <v>2000</v>
      </c>
      <c r="E234" s="12" t="n">
        <v>4000</v>
      </c>
      <c r="F234" s="12" t="n">
        <v>5000</v>
      </c>
      <c r="G234" s="12" t="n">
        <v>6000</v>
      </c>
      <c r="H234" s="7" t="n"/>
    </row>
    <row r="235">
      <c r="A235" s="11" t="inlineStr"/>
      <c r="B235" s="8" t="inlineStr">
        <is>
          <t>Base</t>
        </is>
      </c>
      <c r="C235" s="12" t="n">
        <v>2000</v>
      </c>
      <c r="D235" s="12" t="n">
        <v>6000</v>
      </c>
      <c r="E235" s="12" t="n">
        <v>8000</v>
      </c>
      <c r="F235" s="12" t="n">
        <v>10000</v>
      </c>
      <c r="G235" s="12" t="n">
        <v>12000</v>
      </c>
      <c r="H235" s="7" t="n"/>
    </row>
    <row r="236">
      <c r="A236" s="11" t="inlineStr"/>
      <c r="B236" s="8" t="inlineStr">
        <is>
          <t>Fundable</t>
        </is>
      </c>
      <c r="C236" s="12" t="n">
        <v>4000</v>
      </c>
      <c r="D236" s="12" t="n">
        <v>8000</v>
      </c>
      <c r="E236" s="12" t="n">
        <v>10000</v>
      </c>
      <c r="F236" s="12" t="n">
        <v>14000</v>
      </c>
      <c r="G236" s="12" t="n">
        <v>18000</v>
      </c>
      <c r="H236" s="7" t="n"/>
    </row>
    <row r="237">
      <c r="A237" s="7" t="n"/>
      <c r="B237" s="15" t="inlineStr">
        <is>
          <t>Active</t>
        </is>
      </c>
      <c r="C237" s="21">
        <f>CHOOSE(Inputs!$B$29,C234,C235,C236)</f>
        <v>2000</v>
      </c>
      <c r="D237" s="21">
        <f>CHOOSE(Inputs!$B$29,D234,D235,D236)</f>
        <v>6000</v>
      </c>
      <c r="E237" s="21">
        <f>CHOOSE(Inputs!$B$29,E234,E235,E236)</f>
        <v>8000</v>
      </c>
      <c r="F237" s="21">
        <f>CHOOSE(Inputs!$B$29,F234,F235,F236)</f>
        <v>10000</v>
      </c>
      <c r="G237" s="21">
        <f>CHOOSE(Inputs!$B$29,G234,G235,G236)</f>
        <v>12000</v>
      </c>
      <c r="H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</row>
    <row r="239">
      <c r="A239" s="15" t="inlineStr">
        <is>
          <t>ENGINEERING &amp; PLATFORM (non-payroll)</t>
        </is>
      </c>
      <c r="B239" s="7" t="n"/>
      <c r="C239" s="7" t="n"/>
      <c r="D239" s="7" t="n"/>
      <c r="E239" s="7" t="n"/>
      <c r="F239" s="7" t="n"/>
      <c r="G239" s="7" t="n"/>
      <c r="H239" s="7" t="n"/>
    </row>
    <row r="240">
      <c r="A240" s="11" t="inlineStr">
        <is>
          <t>Hosting, tools, video, email, SMS, $/year</t>
        </is>
      </c>
      <c r="B240" s="8" t="inlineStr">
        <is>
          <t>Conservative</t>
        </is>
      </c>
      <c r="C240" s="12" t="n">
        <v>1500</v>
      </c>
      <c r="D240" s="12" t="n">
        <v>2500</v>
      </c>
      <c r="E240" s="12" t="n">
        <v>4000</v>
      </c>
      <c r="F240" s="12" t="n">
        <v>6000</v>
      </c>
      <c r="G240" s="12" t="n">
        <v>8000</v>
      </c>
      <c r="H240" s="8" t="inlineStr">
        <is>
          <t>Old Inputs sheet: Convex $600, Cloudflare $360, LiveKit $600+, email/SMS per member</t>
        </is>
      </c>
    </row>
    <row r="241">
      <c r="A241" s="11" t="inlineStr"/>
      <c r="B241" s="8" t="inlineStr">
        <is>
          <t>Base</t>
        </is>
      </c>
      <c r="C241" s="12" t="n">
        <v>1500</v>
      </c>
      <c r="D241" s="12" t="n">
        <v>4000</v>
      </c>
      <c r="E241" s="12" t="n">
        <v>8000</v>
      </c>
      <c r="F241" s="12" t="n">
        <v>14000</v>
      </c>
      <c r="G241" s="12" t="n">
        <v>20000</v>
      </c>
      <c r="H241" s="7" t="n"/>
    </row>
    <row r="242">
      <c r="A242" s="11" t="inlineStr"/>
      <c r="B242" s="8" t="inlineStr">
        <is>
          <t>Fundable</t>
        </is>
      </c>
      <c r="C242" s="12" t="n">
        <v>2500</v>
      </c>
      <c r="D242" s="12" t="n">
        <v>6000</v>
      </c>
      <c r="E242" s="12" t="n">
        <v>14000</v>
      </c>
      <c r="F242" s="12" t="n">
        <v>25000</v>
      </c>
      <c r="G242" s="12" t="n">
        <v>40000</v>
      </c>
      <c r="H242" s="7" t="n"/>
    </row>
    <row r="243">
      <c r="A243" s="7" t="n"/>
      <c r="B243" s="15" t="inlineStr">
        <is>
          <t>Active</t>
        </is>
      </c>
      <c r="C243" s="21">
        <f>CHOOSE(Inputs!$B$29,C240,C241,C242)</f>
        <v>1500</v>
      </c>
      <c r="D243" s="21">
        <f>CHOOSE(Inputs!$B$29,D240,D241,D242)</f>
        <v>4000</v>
      </c>
      <c r="E243" s="21">
        <f>CHOOSE(Inputs!$B$29,E240,E241,E242)</f>
        <v>8000</v>
      </c>
      <c r="F243" s="21">
        <f>CHOOSE(Inputs!$B$29,F240,F241,F242)</f>
        <v>14000</v>
      </c>
      <c r="G243" s="21">
        <f>CHOOSE(Inputs!$B$29,G240,G241,G242)</f>
        <v>20000</v>
      </c>
      <c r="H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</row>
    <row r="245">
      <c r="A245" s="11" t="inlineStr">
        <is>
          <t>Contractors (design, QA, security review), $/year</t>
        </is>
      </c>
      <c r="B245" s="8" t="inlineStr">
        <is>
          <t>Conservative</t>
        </is>
      </c>
      <c r="C245" s="12" t="n">
        <v>2000</v>
      </c>
      <c r="D245" s="12" t="n">
        <v>4000</v>
      </c>
      <c r="E245" s="12" t="n">
        <v>6000</v>
      </c>
      <c r="F245" s="12" t="n">
        <v>8000</v>
      </c>
      <c r="G245" s="12" t="n">
        <v>10000</v>
      </c>
      <c r="H245" s="8" t="inlineStr">
        <is>
          <t>Base carries no engineering hire, so contractors grow with the platform</t>
        </is>
      </c>
    </row>
    <row r="246">
      <c r="A246" s="11" t="inlineStr"/>
      <c r="B246" s="8" t="inlineStr">
        <is>
          <t>Base</t>
        </is>
      </c>
      <c r="C246" s="12" t="n">
        <v>8000</v>
      </c>
      <c r="D246" s="12" t="n">
        <v>15000</v>
      </c>
      <c r="E246" s="12" t="n">
        <v>30000</v>
      </c>
      <c r="F246" s="12" t="n">
        <v>45000</v>
      </c>
      <c r="G246" s="12" t="n">
        <v>60000</v>
      </c>
      <c r="H246" s="7" t="n"/>
    </row>
    <row r="247">
      <c r="A247" s="11" t="inlineStr"/>
      <c r="B247" s="8" t="inlineStr">
        <is>
          <t>Fundable</t>
        </is>
      </c>
      <c r="C247" s="12" t="n">
        <v>15000</v>
      </c>
      <c r="D247" s="12" t="n">
        <v>30000</v>
      </c>
      <c r="E247" s="12" t="n">
        <v>40000</v>
      </c>
      <c r="F247" s="12" t="n">
        <v>50000</v>
      </c>
      <c r="G247" s="12" t="n">
        <v>60000</v>
      </c>
      <c r="H247" s="7" t="n"/>
    </row>
    <row r="248">
      <c r="A248" s="7" t="n"/>
      <c r="B248" s="15" t="inlineStr">
        <is>
          <t>Active</t>
        </is>
      </c>
      <c r="C248" s="21">
        <f>CHOOSE(Inputs!$B$29,C245,C246,C247)</f>
        <v>8000</v>
      </c>
      <c r="D248" s="21">
        <f>CHOOSE(Inputs!$B$29,D245,D246,D247)</f>
        <v>15000</v>
      </c>
      <c r="E248" s="21">
        <f>CHOOSE(Inputs!$B$29,E245,E246,E247)</f>
        <v>30000</v>
      </c>
      <c r="F248" s="21">
        <f>CHOOSE(Inputs!$B$29,F245,F246,F247)</f>
        <v>45000</v>
      </c>
      <c r="G248" s="21">
        <f>CHOOSE(Inputs!$B$29,G245,G246,G247)</f>
        <v>60000</v>
      </c>
      <c r="H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</row>
    <row r="250">
      <c r="A250" s="11" t="inlineStr">
        <is>
          <t>Payments compliance, 1099s, security audits, $/year</t>
        </is>
      </c>
      <c r="B250" s="8" t="inlineStr">
        <is>
          <t>Conservative</t>
        </is>
      </c>
      <c r="C250" s="12" t="n">
        <v>1500</v>
      </c>
      <c r="D250" s="12" t="n">
        <v>2000</v>
      </c>
      <c r="E250" s="12" t="n">
        <v>3000</v>
      </c>
      <c r="F250" s="12" t="n">
        <v>4000</v>
      </c>
      <c r="G250" s="12" t="n">
        <v>5000</v>
      </c>
      <c r="H250" s="7" t="n"/>
    </row>
    <row r="251">
      <c r="A251" s="11" t="inlineStr"/>
      <c r="B251" s="8" t="inlineStr">
        <is>
          <t>Base</t>
        </is>
      </c>
      <c r="C251" s="12" t="n">
        <v>3000</v>
      </c>
      <c r="D251" s="12" t="n">
        <v>5000</v>
      </c>
      <c r="E251" s="12" t="n">
        <v>8000</v>
      </c>
      <c r="F251" s="12" t="n">
        <v>10000</v>
      </c>
      <c r="G251" s="12" t="n">
        <v>12000</v>
      </c>
      <c r="H251" s="7" t="n"/>
    </row>
    <row r="252">
      <c r="A252" s="11" t="inlineStr"/>
      <c r="B252" s="8" t="inlineStr">
        <is>
          <t>Fundable</t>
        </is>
      </c>
      <c r="C252" s="12" t="n">
        <v>4000</v>
      </c>
      <c r="D252" s="12" t="n">
        <v>8000</v>
      </c>
      <c r="E252" s="12" t="n">
        <v>12000</v>
      </c>
      <c r="F252" s="12" t="n">
        <v>16000</v>
      </c>
      <c r="G252" s="12" t="n">
        <v>20000</v>
      </c>
      <c r="H252" s="7" t="n"/>
    </row>
    <row r="253">
      <c r="A253" s="7" t="n"/>
      <c r="B253" s="15" t="inlineStr">
        <is>
          <t>Active</t>
        </is>
      </c>
      <c r="C253" s="21">
        <f>CHOOSE(Inputs!$B$29,C250,C251,C252)</f>
        <v>3000</v>
      </c>
      <c r="D253" s="21">
        <f>CHOOSE(Inputs!$B$29,D250,D251,D252)</f>
        <v>5000</v>
      </c>
      <c r="E253" s="21">
        <f>CHOOSE(Inputs!$B$29,E250,E251,E252)</f>
        <v>8000</v>
      </c>
      <c r="F253" s="21">
        <f>CHOOSE(Inputs!$B$29,F250,F251,F252)</f>
        <v>10000</v>
      </c>
      <c r="G253" s="21">
        <f>CHOOSE(Inputs!$B$29,G250,G251,G252)</f>
        <v>12000</v>
      </c>
      <c r="H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</row>
    <row r="255">
      <c r="A255" s="15" t="inlineStr">
        <is>
          <t>OPERATIONS &amp; G&amp;A (non-payroll)</t>
        </is>
      </c>
      <c r="B255" s="7" t="n"/>
      <c r="C255" s="7" t="n"/>
      <c r="D255" s="7" t="n"/>
      <c r="E255" s="7" t="n"/>
      <c r="F255" s="7" t="n"/>
      <c r="G255" s="7" t="n"/>
      <c r="H255" s="7" t="n"/>
    </row>
    <row r="256">
      <c r="A256" s="11" t="inlineStr">
        <is>
          <t>Legal (entity, agreements, nonprofit administration agreement), $/year</t>
        </is>
      </c>
      <c r="B256" s="8" t="inlineStr">
        <is>
          <t>Conservative</t>
        </is>
      </c>
      <c r="C256" s="12" t="n">
        <v>6000</v>
      </c>
      <c r="D256" s="12" t="n">
        <v>4000</v>
      </c>
      <c r="E256" s="12" t="n">
        <v>5000</v>
      </c>
      <c r="F256" s="12" t="n">
        <v>7000</v>
      </c>
      <c r="G256" s="12" t="n">
        <v>9000</v>
      </c>
      <c r="H256" s="8" t="inlineStr">
        <is>
          <t>Y1 includes the entity decision (C-corp conversion ~$5–10k) and the investment paperwork</t>
        </is>
      </c>
    </row>
    <row r="257">
      <c r="A257" s="11" t="inlineStr"/>
      <c r="B257" s="8" t="inlineStr">
        <is>
          <t>Base</t>
        </is>
      </c>
      <c r="C257" s="12" t="n">
        <v>12000</v>
      </c>
      <c r="D257" s="12" t="n">
        <v>8000</v>
      </c>
      <c r="E257" s="12" t="n">
        <v>10000</v>
      </c>
      <c r="F257" s="12" t="n">
        <v>15000</v>
      </c>
      <c r="G257" s="12" t="n">
        <v>20000</v>
      </c>
      <c r="H257" s="7" t="n"/>
    </row>
    <row r="258">
      <c r="A258" s="11" t="inlineStr"/>
      <c r="B258" s="8" t="inlineStr">
        <is>
          <t>Fundable</t>
        </is>
      </c>
      <c r="C258" s="12" t="n">
        <v>18000</v>
      </c>
      <c r="D258" s="12" t="n">
        <v>12000</v>
      </c>
      <c r="E258" s="12" t="n">
        <v>15000</v>
      </c>
      <c r="F258" s="12" t="n">
        <v>20000</v>
      </c>
      <c r="G258" s="12" t="n">
        <v>25000</v>
      </c>
      <c r="H258" s="7" t="n"/>
    </row>
    <row r="259">
      <c r="A259" s="7" t="n"/>
      <c r="B259" s="15" t="inlineStr">
        <is>
          <t>Active</t>
        </is>
      </c>
      <c r="C259" s="21">
        <f>CHOOSE(Inputs!$B$29,C256,C257,C258)</f>
        <v>12000</v>
      </c>
      <c r="D259" s="21">
        <f>CHOOSE(Inputs!$B$29,D256,D257,D258)</f>
        <v>8000</v>
      </c>
      <c r="E259" s="21">
        <f>CHOOSE(Inputs!$B$29,E256,E257,E258)</f>
        <v>10000</v>
      </c>
      <c r="F259" s="21">
        <f>CHOOSE(Inputs!$B$29,F256,F257,F258)</f>
        <v>15000</v>
      </c>
      <c r="G259" s="21">
        <f>CHOOSE(Inputs!$B$29,G256,G257,G258)</f>
        <v>20000</v>
      </c>
      <c r="H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</row>
    <row r="261">
      <c r="A261" s="11" t="inlineStr">
        <is>
          <t>Accounting, tax, bookkeeping, $/year</t>
        </is>
      </c>
      <c r="B261" s="8" t="inlineStr">
        <is>
          <t>Conservative</t>
        </is>
      </c>
      <c r="C261" s="12" t="n">
        <v>3000</v>
      </c>
      <c r="D261" s="12" t="n">
        <v>4000</v>
      </c>
      <c r="E261" s="12" t="n">
        <v>5000</v>
      </c>
      <c r="F261" s="12" t="n">
        <v>7000</v>
      </c>
      <c r="G261" s="12" t="n">
        <v>9000</v>
      </c>
      <c r="H261" s="8" t="inlineStr">
        <is>
          <t>Base outsources bookkeeping and admin instead of an ops hire</t>
        </is>
      </c>
    </row>
    <row r="262">
      <c r="A262" s="11" t="inlineStr"/>
      <c r="B262" s="8" t="inlineStr">
        <is>
          <t>Base</t>
        </is>
      </c>
      <c r="C262" s="12" t="n">
        <v>4000</v>
      </c>
      <c r="D262" s="12" t="n">
        <v>8000</v>
      </c>
      <c r="E262" s="12" t="n">
        <v>14000</v>
      </c>
      <c r="F262" s="12" t="n">
        <v>18000</v>
      </c>
      <c r="G262" s="12" t="n">
        <v>24000</v>
      </c>
      <c r="H262" s="7" t="n"/>
    </row>
    <row r="263">
      <c r="A263" s="11" t="inlineStr"/>
      <c r="B263" s="8" t="inlineStr">
        <is>
          <t>Fundable</t>
        </is>
      </c>
      <c r="C263" s="12" t="n">
        <v>6000</v>
      </c>
      <c r="D263" s="12" t="n">
        <v>10000</v>
      </c>
      <c r="E263" s="12" t="n">
        <v>15000</v>
      </c>
      <c r="F263" s="12" t="n">
        <v>20000</v>
      </c>
      <c r="G263" s="12" t="n">
        <v>25000</v>
      </c>
      <c r="H263" s="7" t="n"/>
    </row>
    <row r="264">
      <c r="A264" s="7" t="n"/>
      <c r="B264" s="15" t="inlineStr">
        <is>
          <t>Active</t>
        </is>
      </c>
      <c r="C264" s="21">
        <f>CHOOSE(Inputs!$B$29,C261,C262,C263)</f>
        <v>4000</v>
      </c>
      <c r="D264" s="21">
        <f>CHOOSE(Inputs!$B$29,D261,D262,D263)</f>
        <v>8000</v>
      </c>
      <c r="E264" s="21">
        <f>CHOOSE(Inputs!$B$29,E261,E262,E263)</f>
        <v>14000</v>
      </c>
      <c r="F264" s="21">
        <f>CHOOSE(Inputs!$B$29,F261,F262,F263)</f>
        <v>18000</v>
      </c>
      <c r="G264" s="21">
        <f>CHOOSE(Inputs!$B$29,G261,G262,G263)</f>
        <v>24000</v>
      </c>
      <c r="H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</row>
    <row r="266">
      <c r="A266" s="11" t="inlineStr">
        <is>
          <t>Insurance (general liability; D&amp;O from the first outside money), $/year</t>
        </is>
      </c>
      <c r="B266" s="8" t="inlineStr">
        <is>
          <t>Conservative</t>
        </is>
      </c>
      <c r="C266" s="12" t="n">
        <v>1500</v>
      </c>
      <c r="D266" s="12" t="n">
        <v>2000</v>
      </c>
      <c r="E266" s="12" t="n">
        <v>3000</v>
      </c>
      <c r="F266" s="12" t="n">
        <v>4000</v>
      </c>
      <c r="G266" s="12" t="n">
        <v>5000</v>
      </c>
      <c r="H266" s="7" t="n"/>
    </row>
    <row r="267">
      <c r="A267" s="11" t="inlineStr"/>
      <c r="B267" s="8" t="inlineStr">
        <is>
          <t>Base</t>
        </is>
      </c>
      <c r="C267" s="12" t="n">
        <v>2500</v>
      </c>
      <c r="D267" s="12" t="n">
        <v>4000</v>
      </c>
      <c r="E267" s="12" t="n">
        <v>8000</v>
      </c>
      <c r="F267" s="12" t="n">
        <v>12000</v>
      </c>
      <c r="G267" s="12" t="n">
        <v>15000</v>
      </c>
      <c r="H267" s="7" t="n"/>
    </row>
    <row r="268">
      <c r="A268" s="11" t="inlineStr"/>
      <c r="B268" s="8" t="inlineStr">
        <is>
          <t>Fundable</t>
        </is>
      </c>
      <c r="C268" s="12" t="n">
        <v>4000</v>
      </c>
      <c r="D268" s="12" t="n">
        <v>8000</v>
      </c>
      <c r="E268" s="12" t="n">
        <v>12000</v>
      </c>
      <c r="F268" s="12" t="n">
        <v>15000</v>
      </c>
      <c r="G268" s="12" t="n">
        <v>20000</v>
      </c>
      <c r="H268" s="7" t="n"/>
    </row>
    <row r="269">
      <c r="A269" s="7" t="n"/>
      <c r="B269" s="15" t="inlineStr">
        <is>
          <t>Active</t>
        </is>
      </c>
      <c r="C269" s="21">
        <f>CHOOSE(Inputs!$B$29,C266,C267,C268)</f>
        <v>2500</v>
      </c>
      <c r="D269" s="21">
        <f>CHOOSE(Inputs!$B$29,D266,D267,D268)</f>
        <v>4000</v>
      </c>
      <c r="E269" s="21">
        <f>CHOOSE(Inputs!$B$29,E266,E267,E268)</f>
        <v>8000</v>
      </c>
      <c r="F269" s="21">
        <f>CHOOSE(Inputs!$B$29,F266,F267,F268)</f>
        <v>12000</v>
      </c>
      <c r="G269" s="21">
        <f>CHOOSE(Inputs!$B$29,G266,G267,G268)</f>
        <v>15000</v>
      </c>
      <c r="H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</row>
    <row r="271">
      <c r="A271" s="11" t="inlineStr">
        <is>
          <t>Admin tools, banking, coworking, $/year</t>
        </is>
      </c>
      <c r="B271" s="8" t="inlineStr">
        <is>
          <t>Conservative</t>
        </is>
      </c>
      <c r="C271" s="12" t="n">
        <v>1500</v>
      </c>
      <c r="D271" s="12" t="n">
        <v>2000</v>
      </c>
      <c r="E271" s="12" t="n">
        <v>3000</v>
      </c>
      <c r="F271" s="12" t="n">
        <v>4000</v>
      </c>
      <c r="G271" s="12" t="n">
        <v>5000</v>
      </c>
      <c r="H271" s="7" t="n"/>
    </row>
    <row r="272">
      <c r="A272" s="11" t="inlineStr"/>
      <c r="B272" s="8" t="inlineStr">
        <is>
          <t>Base</t>
        </is>
      </c>
      <c r="C272" s="12" t="n">
        <v>3000</v>
      </c>
      <c r="D272" s="12" t="n">
        <v>6000</v>
      </c>
      <c r="E272" s="12" t="n">
        <v>10000</v>
      </c>
      <c r="F272" s="12" t="n">
        <v>15000</v>
      </c>
      <c r="G272" s="12" t="n">
        <v>20000</v>
      </c>
      <c r="H272" s="7" t="n"/>
    </row>
    <row r="273">
      <c r="A273" s="11" t="inlineStr"/>
      <c r="B273" s="8" t="inlineStr">
        <is>
          <t>Fundable</t>
        </is>
      </c>
      <c r="C273" s="12" t="n">
        <v>5000</v>
      </c>
      <c r="D273" s="12" t="n">
        <v>10000</v>
      </c>
      <c r="E273" s="12" t="n">
        <v>15000</v>
      </c>
      <c r="F273" s="12" t="n">
        <v>25000</v>
      </c>
      <c r="G273" s="12" t="n">
        <v>35000</v>
      </c>
      <c r="H273" s="7" t="n"/>
    </row>
    <row r="274">
      <c r="A274" s="7" t="n"/>
      <c r="B274" s="15" t="inlineStr">
        <is>
          <t>Active</t>
        </is>
      </c>
      <c r="C274" s="21">
        <f>CHOOSE(Inputs!$B$29,C271,C272,C273)</f>
        <v>3000</v>
      </c>
      <c r="D274" s="21">
        <f>CHOOSE(Inputs!$B$29,D271,D272,D273)</f>
        <v>6000</v>
      </c>
      <c r="E274" s="21">
        <f>CHOOSE(Inputs!$B$29,E271,E272,E273)</f>
        <v>10000</v>
      </c>
      <c r="F274" s="21">
        <f>CHOOSE(Inputs!$B$29,F271,F272,F273)</f>
        <v>15000</v>
      </c>
      <c r="G274" s="21">
        <f>CHOOSE(Inputs!$B$29,G271,G272,G273)</f>
        <v>20000</v>
      </c>
      <c r="H274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60" customWidth="1" min="7" max="7"/>
  </cols>
  <sheetData>
    <row r="1">
      <c r="A1" s="6" t="inlineStr">
        <is>
          <t>Track A — The Garden (house community)</t>
        </is>
      </c>
      <c r="B1" s="7" t="n"/>
      <c r="C1" s="7" t="n"/>
      <c r="D1" s="7" t="n"/>
      <c r="E1" s="7" t="n"/>
      <c r="F1" s="7" t="n"/>
      <c r="G1" s="7" t="n"/>
    </row>
    <row r="2">
      <c r="A2" s="15" t="str">
        <f>IF(Inputs!$B$29=1,"Scenario: Conservative",IF(Inputs!$B$29=2,"Scenario: Base","Scenario: Fundable"))</f>
        <v>Scenario: Base</v>
      </c>
      <c r="B2" s="7" t="n"/>
      <c r="C2" s="7" t="n"/>
      <c r="D2" s="7" t="n"/>
      <c r="E2" s="7" t="n"/>
      <c r="F2" s="7" t="n"/>
      <c r="G2" s="7" t="n"/>
    </row>
    <row r="3">
      <c r="A3" s="22" t="inlineStr"/>
      <c r="B3" s="23" t="inlineStr">
        <is>
          <t>Y1 (Nov26–Oct27)</t>
        </is>
      </c>
      <c r="C3" s="23" t="inlineStr">
        <is>
          <t>Y2</t>
        </is>
      </c>
      <c r="D3" s="23" t="inlineStr">
        <is>
          <t>Y3</t>
        </is>
      </c>
      <c r="E3" s="23" t="inlineStr">
        <is>
          <t>Y4</t>
        </is>
      </c>
      <c r="F3" s="23" t="inlineStr">
        <is>
          <t>Y5</t>
        </is>
      </c>
      <c r="G3" s="17" t="inlineStr">
        <is>
          <t>How</t>
        </is>
      </c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9" t="inlineStr">
        <is>
          <t>Drivers (green = from Inputs, active scenario)</t>
        </is>
      </c>
      <c r="B5" s="10" t="n"/>
      <c r="C5" s="10" t="n"/>
      <c r="D5" s="10" t="n"/>
      <c r="E5" s="10" t="n"/>
      <c r="F5" s="10" t="n"/>
      <c r="G5" s="10" t="n"/>
    </row>
    <row r="6">
      <c r="A6" s="11" t="inlineStr">
        <is>
          <t>Paying individual members (avg)</t>
        </is>
      </c>
      <c r="B6" s="24">
        <f>Inputs!$C$37</f>
        <v>150</v>
      </c>
      <c r="C6" s="24">
        <f>Inputs!$D$37</f>
        <v>400</v>
      </c>
      <c r="D6" s="24">
        <f>Inputs!$E$37</f>
        <v>800</v>
      </c>
      <c r="E6" s="24">
        <f>Inputs!$F$37</f>
        <v>1200</v>
      </c>
      <c r="F6" s="24">
        <f>Inputs!$G$37</f>
        <v>1600</v>
      </c>
      <c r="G6" s="7" t="n"/>
    </row>
    <row r="7">
      <c r="A7" s="11" t="inlineStr">
        <is>
          <t>Church-covered seats (avg)</t>
        </is>
      </c>
      <c r="B7" s="24">
        <f>Inputs!$C$42</f>
        <v>50</v>
      </c>
      <c r="C7" s="24">
        <f>Inputs!$D$42</f>
        <v>200</v>
      </c>
      <c r="D7" s="24">
        <f>Inputs!$E$42</f>
        <v>500</v>
      </c>
      <c r="E7" s="24">
        <f>Inputs!$F$42</f>
        <v>900</v>
      </c>
      <c r="F7" s="24">
        <f>Inputs!$G$42</f>
        <v>1400</v>
      </c>
      <c r="G7" s="7" t="n"/>
    </row>
    <row r="8">
      <c r="A8" s="11" t="inlineStr">
        <is>
          <t>Share on Pro seat</t>
        </is>
      </c>
      <c r="B8" s="25">
        <f>Inputs!$C$47</f>
        <v>0.05</v>
      </c>
      <c r="C8" s="25">
        <f>Inputs!$D$47</f>
        <v>0.1</v>
      </c>
      <c r="D8" s="25">
        <f>Inputs!$E$47</f>
        <v>0.15</v>
      </c>
      <c r="E8" s="25">
        <f>Inputs!$F$47</f>
        <v>0.2</v>
      </c>
      <c r="F8" s="25">
        <f>Inputs!$G$47</f>
        <v>0.2</v>
      </c>
      <c r="G8" s="7" t="n"/>
    </row>
    <row r="9">
      <c r="A9" s="11" t="inlineStr">
        <is>
          <t>Backing GMV per paying member, $/yr</t>
        </is>
      </c>
      <c r="B9" s="26">
        <f>Inputs!$C$52</f>
        <v>75</v>
      </c>
      <c r="C9" s="26">
        <f>Inputs!$D$52</f>
        <v>100</v>
      </c>
      <c r="D9" s="26">
        <f>Inputs!$E$52</f>
        <v>125</v>
      </c>
      <c r="E9" s="26">
        <f>Inputs!$F$52</f>
        <v>150</v>
      </c>
      <c r="F9" s="26">
        <f>Inputs!$G$52</f>
        <v>175</v>
      </c>
      <c r="G9" s="7" t="n"/>
    </row>
    <row r="10">
      <c r="A10" s="11" t="inlineStr">
        <is>
          <t>Class GMV per paying member, $/yr</t>
        </is>
      </c>
      <c r="B10" s="26">
        <f>Inputs!$C$57</f>
        <v>60</v>
      </c>
      <c r="C10" s="26">
        <f>Inputs!$D$57</f>
        <v>80</v>
      </c>
      <c r="D10" s="26">
        <f>Inputs!$E$57</f>
        <v>100</v>
      </c>
      <c r="E10" s="26">
        <f>Inputs!$F$57</f>
        <v>120</v>
      </c>
      <c r="F10" s="26">
        <f>Inputs!$G$57</f>
        <v>140</v>
      </c>
      <c r="G10" s="7" t="n"/>
    </row>
    <row r="11">
      <c r="A11" s="11" t="inlineStr">
        <is>
          <t>Gifts to the program, $/yr</t>
        </is>
      </c>
      <c r="B11" s="26">
        <f>Inputs!$C$62</f>
        <v>25000</v>
      </c>
      <c r="C11" s="26">
        <f>Inputs!$D$62</f>
        <v>60000</v>
      </c>
      <c r="D11" s="26">
        <f>Inputs!$E$62</f>
        <v>120000</v>
      </c>
      <c r="E11" s="26">
        <f>Inputs!$F$62</f>
        <v>200000</v>
      </c>
      <c r="F11" s="26">
        <f>Inputs!$G$62</f>
        <v>300000</v>
      </c>
      <c r="G11" s="7" t="n"/>
    </row>
    <row r="12">
      <c r="A12" s="11" t="inlineStr">
        <is>
          <t>Event ticket GMV, $/yr</t>
        </is>
      </c>
      <c r="B12" s="26">
        <f>Inputs!$C$67</f>
        <v>15000</v>
      </c>
      <c r="C12" s="26">
        <f>Inputs!$D$67</f>
        <v>30000</v>
      </c>
      <c r="D12" s="26">
        <f>Inputs!$E$67</f>
        <v>50000</v>
      </c>
      <c r="E12" s="26">
        <f>Inputs!$F$67</f>
        <v>75000</v>
      </c>
      <c r="F12" s="26">
        <f>Inputs!$G$67</f>
        <v>100000</v>
      </c>
      <c r="G12" s="7" t="n"/>
    </row>
    <row r="13">
      <c r="A13" s="11" t="inlineStr">
        <is>
          <t>Sponsorships, count</t>
        </is>
      </c>
      <c r="B13" s="24">
        <f>Inputs!$C$72</f>
        <v>2</v>
      </c>
      <c r="C13" s="24">
        <f>Inputs!$D$72</f>
        <v>4</v>
      </c>
      <c r="D13" s="24">
        <f>Inputs!$E$72</f>
        <v>8</v>
      </c>
      <c r="E13" s="24">
        <f>Inputs!$F$72</f>
        <v>12</v>
      </c>
      <c r="F13" s="24">
        <f>Inputs!$G$72</f>
        <v>16</v>
      </c>
      <c r="G13" s="7" t="n"/>
    </row>
    <row r="14">
      <c r="A14" s="11" t="inlineStr">
        <is>
          <t>Community engagement, hrs/wk</t>
        </is>
      </c>
      <c r="B14" s="24">
        <f>Inputs!$C$77</f>
        <v>10</v>
      </c>
      <c r="C14" s="24">
        <f>Inputs!$D$77</f>
        <v>15</v>
      </c>
      <c r="D14" s="24">
        <f>Inputs!$E$77</f>
        <v>10</v>
      </c>
      <c r="E14" s="24">
        <f>Inputs!$F$77</f>
        <v>0</v>
      </c>
      <c r="F14" s="24">
        <f>Inputs!$G$77</f>
        <v>0</v>
      </c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9" t="inlineStr">
        <is>
          <t>Money moved (GMV)</t>
        </is>
      </c>
      <c r="B16" s="10" t="n"/>
      <c r="C16" s="10" t="n"/>
      <c r="D16" s="10" t="n"/>
      <c r="E16" s="10" t="n"/>
      <c r="F16" s="10" t="n"/>
      <c r="G16" s="10" t="n"/>
    </row>
    <row r="17">
      <c r="A17" s="11" t="inlineStr">
        <is>
          <t>Individual dues GMV</t>
        </is>
      </c>
      <c r="B17" s="27">
        <f>B6*12*(Inputs!$B$5*(1-B8)+Inputs!$B$6*B8)*(1-Inputs!$B$7*(1-Inputs!$B$21))</f>
        <v>18059.742000000002</v>
      </c>
      <c r="C17" s="27">
        <f>C6*12*(Inputs!$B$5*(1-C8)+Inputs!$B$6*C8)*(1-Inputs!$B$7*(1-Inputs!$B$21))</f>
        <v>51519.264</v>
      </c>
      <c r="D17" s="27">
        <f>D6*12*(Inputs!$B$5*(1-D8)+Inputs!$B$6*D8)*(1-Inputs!$B$7*(1-Inputs!$B$21))</f>
        <v>109758.432</v>
      </c>
      <c r="E17" s="27">
        <f>E6*12*(Inputs!$B$5*(1-E8)+Inputs!$B$6*E8)*(1-Inputs!$B$7*(1-Inputs!$B$21))</f>
        <v>174717.50400000002</v>
      </c>
      <c r="F17" s="27">
        <f>F6*12*(Inputs!$B$5*(1-F8)+Inputs!$B$6*F8)*(1-Inputs!$B$7*(1-Inputs!$B$21))</f>
        <v>232956.67200000002</v>
      </c>
      <c r="G17" s="8" t="inlineStr">
        <is>
          <t>members × 12 × blended seat price, annual discount on the annual share</t>
        </is>
      </c>
    </row>
    <row r="18">
      <c r="A18" s="11" t="inlineStr">
        <is>
          <t>Church seat-pack GMV</t>
        </is>
      </c>
      <c r="B18" s="27">
        <f>B7*Inputs!$B$17</f>
        <v>5000</v>
      </c>
      <c r="C18" s="27">
        <f>C7*Inputs!$B$17</f>
        <v>20000</v>
      </c>
      <c r="D18" s="27">
        <f>D7*Inputs!$B$17</f>
        <v>50000</v>
      </c>
      <c r="E18" s="27">
        <f>E7*Inputs!$B$17</f>
        <v>90000</v>
      </c>
      <c r="F18" s="27">
        <f>F7*Inputs!$B$17</f>
        <v>140000</v>
      </c>
      <c r="G18" s="8" t="inlineStr">
        <is>
          <t>seats × $100/yr, one charge per church</t>
        </is>
      </c>
    </row>
    <row r="19">
      <c r="A19" s="11" t="inlineStr">
        <is>
          <t>Backings GMV</t>
        </is>
      </c>
      <c r="B19" s="27">
        <f>(B6+B7)*B9</f>
        <v>15000</v>
      </c>
      <c r="C19" s="27">
        <f>(C6+C7)*C9</f>
        <v>60000</v>
      </c>
      <c r="D19" s="27">
        <f>(D6+D7)*D9</f>
        <v>162500</v>
      </c>
      <c r="E19" s="27">
        <f>(E6+E7)*E9</f>
        <v>315000</v>
      </c>
      <c r="F19" s="27">
        <f>(F6+F7)*F9</f>
        <v>525000</v>
      </c>
      <c r="G19" s="8" t="inlineStr">
        <is>
          <t>all paying and covered members × backing per member</t>
        </is>
      </c>
    </row>
    <row r="20">
      <c r="A20" s="11" t="inlineStr">
        <is>
          <t>Classes and premium GMV</t>
        </is>
      </c>
      <c r="B20" s="27">
        <f>(B6+B7)*B10</f>
        <v>12000</v>
      </c>
      <c r="C20" s="27">
        <f>(C6+C7)*C10</f>
        <v>48000</v>
      </c>
      <c r="D20" s="27">
        <f>(D6+D7)*D10</f>
        <v>130000</v>
      </c>
      <c r="E20" s="27">
        <f>(E6+E7)*E10</f>
        <v>252000</v>
      </c>
      <c r="F20" s="27">
        <f>(F6+F7)*F10</f>
        <v>420000</v>
      </c>
      <c r="G20" s="7" t="n"/>
    </row>
    <row r="21">
      <c r="A21" s="11" t="inlineStr">
        <is>
          <t>Gifts to the program (through AP)</t>
        </is>
      </c>
      <c r="B21" s="27">
        <f>B11</f>
        <v>25000</v>
      </c>
      <c r="C21" s="27">
        <f>C11</f>
        <v>60000</v>
      </c>
      <c r="D21" s="27">
        <f>D11</f>
        <v>120000</v>
      </c>
      <c r="E21" s="27">
        <f>E11</f>
        <v>200000</v>
      </c>
      <c r="F21" s="27">
        <f>F11</f>
        <v>300000</v>
      </c>
      <c r="G21" s="7" t="n"/>
    </row>
    <row r="22">
      <c r="A22" s="11" t="inlineStr">
        <is>
          <t>Event tickets GMV</t>
        </is>
      </c>
      <c r="B22" s="27">
        <f>B12</f>
        <v>15000</v>
      </c>
      <c r="C22" s="27">
        <f>C12</f>
        <v>30000</v>
      </c>
      <c r="D22" s="27">
        <f>D12</f>
        <v>50000</v>
      </c>
      <c r="E22" s="27">
        <f>E12</f>
        <v>75000</v>
      </c>
      <c r="F22" s="27">
        <f>F12</f>
        <v>100000</v>
      </c>
      <c r="G22" s="7" t="n"/>
    </row>
    <row r="23">
      <c r="A23" s="11" t="inlineStr">
        <is>
          <t>Sponsorships</t>
        </is>
      </c>
      <c r="B23" s="27">
        <f>B13*Inputs!$B$18</f>
        <v>10000</v>
      </c>
      <c r="C23" s="27">
        <f>C13*Inputs!$B$18</f>
        <v>20000</v>
      </c>
      <c r="D23" s="27">
        <f>D13*Inputs!$B$18</f>
        <v>40000</v>
      </c>
      <c r="E23" s="27">
        <f>E13*Inputs!$B$18</f>
        <v>60000</v>
      </c>
      <c r="F23" s="27">
        <f>F13*Inputs!$B$18</f>
        <v>80000</v>
      </c>
      <c r="G23" s="7" t="n"/>
    </row>
    <row r="24">
      <c r="A24" s="15" t="inlineStr">
        <is>
          <t>TOTAL MONEY MOVED — Garden</t>
        </is>
      </c>
      <c r="B24" s="28">
        <f>SUM(B17:B23)</f>
        <v>100059.742</v>
      </c>
      <c r="C24" s="28">
        <f>SUM(C17:C23)</f>
        <v>289519.26399999997</v>
      </c>
      <c r="D24" s="28">
        <f>SUM(D17:D23)</f>
        <v>662258.432</v>
      </c>
      <c r="E24" s="28">
        <f>SUM(E17:E23)</f>
        <v>1166717.504</v>
      </c>
      <c r="F24" s="28">
        <f>SUM(F17:F23)</f>
        <v>1797956.672</v>
      </c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9" t="inlineStr">
        <is>
          <t>Platform revenue from the Garden</t>
        </is>
      </c>
      <c r="B26" s="10" t="n"/>
      <c r="C26" s="10" t="n"/>
      <c r="D26" s="10" t="n"/>
      <c r="E26" s="10" t="n"/>
      <c r="F26" s="10" t="n"/>
      <c r="G26" s="10" t="n"/>
    </row>
    <row r="27">
      <c r="A27" s="11" t="inlineStr">
        <is>
          <t>Dues kept by the platform (house share)</t>
        </is>
      </c>
      <c r="B27" s="27">
        <f>(B17+B18)*Inputs!$B$9</f>
        <v>11529.871000000001</v>
      </c>
      <c r="C27" s="27">
        <f>(C17+C18)*Inputs!$B$9</f>
        <v>35759.632</v>
      </c>
      <c r="D27" s="27">
        <f>(D17+D18)*Inputs!$B$9</f>
        <v>79879.216</v>
      </c>
      <c r="E27" s="27">
        <f>(E17+E18)*Inputs!$B$9</f>
        <v>132358.752</v>
      </c>
      <c r="F27" s="27">
        <f>(F17+F18)*Inputs!$B$9</f>
        <v>186478.336</v>
      </c>
      <c r="G27" s="8" t="inlineStr">
        <is>
          <t>the other half funds the program</t>
        </is>
      </c>
    </row>
    <row r="28">
      <c r="A28" s="11" t="inlineStr">
        <is>
          <t>Backing fees</t>
        </is>
      </c>
      <c r="B28" s="27">
        <f>B19*Inputs!$B$11</f>
        <v>1500.0</v>
      </c>
      <c r="C28" s="27">
        <f>C19*Inputs!$B$11</f>
        <v>6000.0</v>
      </c>
      <c r="D28" s="27">
        <f>D19*Inputs!$B$11</f>
        <v>16250.0</v>
      </c>
      <c r="E28" s="27">
        <f>E19*Inputs!$B$11</f>
        <v>31500.0</v>
      </c>
      <c r="F28" s="27">
        <f>F19*Inputs!$B$11</f>
        <v>52500.0</v>
      </c>
      <c r="G28" s="7" t="n"/>
    </row>
    <row r="29">
      <c r="A29" s="11" t="inlineStr">
        <is>
          <t>Class fees</t>
        </is>
      </c>
      <c r="B29" s="27">
        <f>B20*Inputs!$B$12</f>
        <v>1200.0</v>
      </c>
      <c r="C29" s="27">
        <f>C20*Inputs!$B$12</f>
        <v>4800.0</v>
      </c>
      <c r="D29" s="27">
        <f>D20*Inputs!$B$12</f>
        <v>13000.0</v>
      </c>
      <c r="E29" s="27">
        <f>E20*Inputs!$B$12</f>
        <v>25200.0</v>
      </c>
      <c r="F29" s="27">
        <f>F20*Inputs!$B$12</f>
        <v>42000.0</v>
      </c>
      <c r="G29" s="7" t="n"/>
    </row>
    <row r="30">
      <c r="A30" s="11" t="inlineStr">
        <is>
          <t>Program platform fee (5% of gifts)</t>
        </is>
      </c>
      <c r="B30" s="27">
        <f>B21*Inputs!$B$13</f>
        <v>1250.0</v>
      </c>
      <c r="C30" s="27">
        <f>C21*Inputs!$B$13</f>
        <v>3000.0</v>
      </c>
      <c r="D30" s="27">
        <f>D21*Inputs!$B$13</f>
        <v>6000.0</v>
      </c>
      <c r="E30" s="27">
        <f>E21*Inputs!$B$13</f>
        <v>10000.0</v>
      </c>
      <c r="F30" s="27">
        <f>F21*Inputs!$B$13</f>
        <v>15000.0</v>
      </c>
      <c r="G30" s="7" t="n"/>
    </row>
    <row r="31">
      <c r="A31" s="11" t="inlineStr">
        <is>
          <t>Event ticket fees (PROPOSED)</t>
        </is>
      </c>
      <c r="B31" s="27">
        <f>B22*Inputs!$B$14</f>
        <v>750.0</v>
      </c>
      <c r="C31" s="27">
        <f>C22*Inputs!$B$14</f>
        <v>1500.0</v>
      </c>
      <c r="D31" s="27">
        <f>D22*Inputs!$B$14</f>
        <v>2500.0</v>
      </c>
      <c r="E31" s="27">
        <f>E22*Inputs!$B$14</f>
        <v>3750.0</v>
      </c>
      <c r="F31" s="27">
        <f>F22*Inputs!$B$14</f>
        <v>5000.0</v>
      </c>
      <c r="G31" s="7" t="n"/>
    </row>
    <row r="32">
      <c r="A32" s="11" t="inlineStr">
        <is>
          <t>Sponsorships (100% company)</t>
        </is>
      </c>
      <c r="B32" s="27">
        <f>B23</f>
        <v>10000</v>
      </c>
      <c r="C32" s="27">
        <f>C23</f>
        <v>20000</v>
      </c>
      <c r="D32" s="27">
        <f>D23</f>
        <v>40000</v>
      </c>
      <c r="E32" s="27">
        <f>E23</f>
        <v>60000</v>
      </c>
      <c r="F32" s="27">
        <f>F23</f>
        <v>80000</v>
      </c>
      <c r="G32" s="7" t="n"/>
    </row>
    <row r="33">
      <c r="A33" s="15" t="inlineStr">
        <is>
          <t>GARDEN PLATFORM REVENUE</t>
        </is>
      </c>
      <c r="B33" s="28">
        <f>SUM(B27:B32)</f>
        <v>26229.871</v>
      </c>
      <c r="C33" s="28">
        <f>SUM(C27:C32)</f>
        <v>71059.632</v>
      </c>
      <c r="D33" s="28">
        <f>SUM(D27:D32)</f>
        <v>157629.21600000001</v>
      </c>
      <c r="E33" s="28">
        <f>SUM(E27:E32)</f>
        <v>262808.752</v>
      </c>
      <c r="F33" s="28">
        <f>SUM(F27:F32)</f>
        <v>380978.336</v>
      </c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9" t="inlineStr">
        <is>
          <t>What the program gets (not company revenue)</t>
        </is>
      </c>
      <c r="B35" s="10" t="n"/>
      <c r="C35" s="10" t="n"/>
      <c r="D35" s="10" t="n"/>
      <c r="E35" s="10" t="n"/>
      <c r="F35" s="10" t="n"/>
      <c r="G35" s="10" t="n"/>
    </row>
    <row r="36">
      <c r="A36" s="11" t="inlineStr">
        <is>
          <t>Half of dues to the program</t>
        </is>
      </c>
      <c r="B36" s="27">
        <f>(B17+B18)*Inputs!$B$8</f>
        <v>11529.871000000001</v>
      </c>
      <c r="C36" s="27">
        <f>(C17+C18)*Inputs!$B$8</f>
        <v>35759.632</v>
      </c>
      <c r="D36" s="27">
        <f>(D17+D18)*Inputs!$B$8</f>
        <v>79879.216</v>
      </c>
      <c r="E36" s="27">
        <f>(E17+E18)*Inputs!$B$8</f>
        <v>132358.752</v>
      </c>
      <c r="F36" s="27">
        <f>(F17+F18)*Inputs!$B$8</f>
        <v>186478.336</v>
      </c>
      <c r="G36" s="7" t="n"/>
    </row>
    <row r="37">
      <c r="A37" s="11" t="inlineStr">
        <is>
          <t>Gifts net of fees (~90%)</t>
        </is>
      </c>
      <c r="B37" s="27">
        <f>B21*(1-Inputs!$B$13*2)</f>
        <v>22500.0</v>
      </c>
      <c r="C37" s="27">
        <f>C21*(1-Inputs!$B$13*2)</f>
        <v>54000.0</v>
      </c>
      <c r="D37" s="27">
        <f>D21*(1-Inputs!$B$13*2)</f>
        <v>108000.0</v>
      </c>
      <c r="E37" s="27">
        <f>E21*(1-Inputs!$B$13*2)</f>
        <v>180000.0</v>
      </c>
      <c r="F37" s="27">
        <f>F21*(1-Inputs!$B$13*2)</f>
        <v>270000.0</v>
      </c>
      <c r="G37" s="7" t="n"/>
    </row>
    <row r="38">
      <c r="A38" s="15" t="inlineStr">
        <is>
          <t>PROGRAM DOLLARS TO CREATIVES (fellowships, commissions, seats)</t>
        </is>
      </c>
      <c r="B38" s="28">
        <f>B36+B37</f>
        <v>34029.871</v>
      </c>
      <c r="C38" s="28">
        <f>C36+C37</f>
        <v>89759.632</v>
      </c>
      <c r="D38" s="28">
        <f>D36+D37</f>
        <v>187879.21600000001</v>
      </c>
      <c r="E38" s="28">
        <f>E36+E37</f>
        <v>312358.752</v>
      </c>
      <c r="F38" s="28">
        <f>F36+F37</f>
        <v>456478.336</v>
      </c>
      <c r="G38" s="8" t="inlineStr">
        <is>
          <t>the impact number: money the program can award</t>
        </is>
      </c>
    </row>
    <row r="39">
      <c r="A39" s="11" t="inlineStr">
        <is>
          <t>Creatives reached at ~$800 average award</t>
        </is>
      </c>
      <c r="B39" s="29">
        <f>ROUND(B38/800,0)</f>
        <v>43.0</v>
      </c>
      <c r="C39" s="29">
        <f>ROUND(C38/800,0)</f>
        <v>112.0</v>
      </c>
      <c r="D39" s="29">
        <f>ROUND(D38/800,0)</f>
        <v>235.0</v>
      </c>
      <c r="E39" s="29">
        <f>ROUND(E38/800,0)</f>
        <v>390.0</v>
      </c>
      <c r="F39" s="29">
        <f>ROUND(F38/800,0)</f>
        <v>571.0</v>
      </c>
      <c r="G39" s="8" t="inlineStr">
        <is>
          <t>Business Model §04 mix of micro-grants, tuition, project grants, fellowships</t>
        </is>
      </c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9" t="inlineStr">
        <is>
          <t>Garden direct costs</t>
        </is>
      </c>
      <c r="B41" s="10" t="n"/>
      <c r="C41" s="10" t="n"/>
      <c r="D41" s="10" t="n"/>
      <c r="E41" s="10" t="n"/>
      <c r="F41" s="10" t="n"/>
      <c r="G41" s="10" t="n"/>
    </row>
    <row r="42">
      <c r="A42" s="11" t="inlineStr">
        <is>
          <t>Community engagement (hourly)</t>
        </is>
      </c>
      <c r="B42" s="27">
        <f>B14*52*Inputs!$C$210</f>
        <v>15600</v>
      </c>
      <c r="C42" s="27">
        <f>C14*52*Inputs!$D$210</f>
        <v>23400</v>
      </c>
      <c r="D42" s="27">
        <f>D14*52*Inputs!$E$210</f>
        <v>16120</v>
      </c>
      <c r="E42" s="27">
        <f>E14*52*Inputs!$F$210</f>
        <v>0</v>
      </c>
      <c r="F42" s="27">
        <f>F14*52*Inputs!$G$210</f>
        <v>0</v>
      </c>
      <c r="G42" s="7" t="n"/>
    </row>
    <row r="43">
      <c r="A43" s="11" t="inlineStr">
        <is>
          <t>Card processing absorbed on dues (monthly share)</t>
        </is>
      </c>
      <c r="B43" s="27">
        <f>B17*Inputs!$B$21*(Inputs!$B$19+Inputs!$B$20/Inputs!$B$5)+B17*(1-Inputs!$B$21)*Inputs!$B$19</f>
        <v>848.8078740000001</v>
      </c>
      <c r="C43" s="27">
        <f>C17*Inputs!$B$21*(Inputs!$B$19+Inputs!$B$20/Inputs!$B$5)+C17*(1-Inputs!$B$21)*Inputs!$B$19</f>
        <v>2421.405408</v>
      </c>
      <c r="D43" s="27">
        <f>D17*Inputs!$B$21*(Inputs!$B$19+Inputs!$B$20/Inputs!$B$5)+D17*(1-Inputs!$B$21)*Inputs!$B$19</f>
        <v>5158.646304</v>
      </c>
      <c r="E43" s="27">
        <f>E17*Inputs!$B$21*(Inputs!$B$19+Inputs!$B$20/Inputs!$B$5)+E17*(1-Inputs!$B$21)*Inputs!$B$19</f>
        <v>8211.722688</v>
      </c>
      <c r="F43" s="27">
        <f>F17*Inputs!$B$21*(Inputs!$B$19+Inputs!$B$20/Inputs!$B$5)+F17*(1-Inputs!$B$21)*Inputs!$B$19</f>
        <v>10948.963584000001</v>
      </c>
      <c r="G43" s="8" t="inlineStr">
        <is>
          <t>monthly $10 charges cost ~5.9%; annual ~2.9%</t>
        </is>
      </c>
    </row>
    <row r="44">
      <c r="A44" s="11" t="inlineStr">
        <is>
          <t>Payout costs (backings, classes)</t>
        </is>
      </c>
      <c r="B44" s="27">
        <f>(B19*(1-Inputs!$B$11)+B20*(1-Inputs!$B$12))*Inputs!$B$22</f>
        <v>243.0</v>
      </c>
      <c r="C44" s="27">
        <f>(C19*(1-Inputs!$B$11)+C20*(1-Inputs!$B$12))*Inputs!$B$22</f>
        <v>972.0</v>
      </c>
      <c r="D44" s="27">
        <f>(D19*(1-Inputs!$B$11)+D20*(1-Inputs!$B$12))*Inputs!$B$22</f>
        <v>2632.5</v>
      </c>
      <c r="E44" s="27">
        <f>(E19*(1-Inputs!$B$11)+E20*(1-Inputs!$B$12))*Inputs!$B$22</f>
        <v>5103.0</v>
      </c>
      <c r="F44" s="27">
        <f>(F19*(1-Inputs!$B$11)+F20*(1-Inputs!$B$12))*Inputs!$B$22</f>
        <v>8505.0</v>
      </c>
      <c r="G44" s="7" t="n"/>
    </row>
    <row r="45">
      <c r="A45" s="15" t="inlineStr">
        <is>
          <t>GARDEN TRACK CONTRIBUTION</t>
        </is>
      </c>
      <c r="B45" s="28">
        <f>B33-SUM(B42:B44)</f>
        <v>9538.063126000001</v>
      </c>
      <c r="C45" s="28">
        <f>C33-SUM(C42:C44)</f>
        <v>44266.226592</v>
      </c>
      <c r="D45" s="28">
        <f>D33-SUM(D42:D44)</f>
        <v>133718.06969600002</v>
      </c>
      <c r="E45" s="28">
        <f>E33-SUM(E42:E44)</f>
        <v>249494.02931199997</v>
      </c>
      <c r="F45" s="28">
        <f>F33-SUM(F42:F44)</f>
        <v>361524.372416</v>
      </c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11" t="inlineStr">
        <is>
          <t>Memo: platform revenue per paying/covered member per year</t>
        </is>
      </c>
      <c r="B47" s="30">
        <f>IF((B6+B7)=0,0,B33/(B6+B7))</f>
        <v>131.14935499999999</v>
      </c>
      <c r="C47" s="30">
        <f>IF((C6+C7)=0,0,C33/(C6+C7))</f>
        <v>118.43272</v>
      </c>
      <c r="D47" s="30">
        <f>IF((D6+D7)=0,0,D33/(D6+D7))</f>
        <v>121.25324307692308</v>
      </c>
      <c r="E47" s="30">
        <f>IF((E6+E7)=0,0,E33/(E6+E7))</f>
        <v>125.14702476190475</v>
      </c>
      <c r="F47" s="30">
        <f>IF((F6+F7)=0,0,F33/(F6+F7))</f>
        <v>126.99277866666667</v>
      </c>
      <c r="G47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60" customWidth="1" min="7" max="7"/>
  </cols>
  <sheetData>
    <row r="1">
      <c r="A1" s="6" t="inlineStr">
        <is>
          <t>Track B — The Exchange (partner communities, hosts, B2B)</t>
        </is>
      </c>
      <c r="B1" s="7" t="n"/>
      <c r="C1" s="7" t="n"/>
      <c r="D1" s="7" t="n"/>
      <c r="E1" s="7" t="n"/>
      <c r="F1" s="7" t="n"/>
      <c r="G1" s="7" t="n"/>
    </row>
    <row r="2">
      <c r="A2" s="15" t="str">
        <f>IF(Inputs!$B$29=1,"Scenario: Conservative",IF(Inputs!$B$29=2,"Scenario: Base","Scenario: Fundable"))</f>
        <v>Scenario: Base</v>
      </c>
      <c r="B2" s="7" t="n"/>
      <c r="C2" s="7" t="n"/>
      <c r="D2" s="7" t="n"/>
      <c r="E2" s="7" t="n"/>
      <c r="F2" s="7" t="n"/>
      <c r="G2" s="7" t="n"/>
    </row>
    <row r="3">
      <c r="A3" s="22" t="inlineStr"/>
      <c r="B3" s="23" t="inlineStr">
        <is>
          <t>Y1 (Nov26–Oct27)</t>
        </is>
      </c>
      <c r="C3" s="23" t="inlineStr">
        <is>
          <t>Y2</t>
        </is>
      </c>
      <c r="D3" s="23" t="inlineStr">
        <is>
          <t>Y3</t>
        </is>
      </c>
      <c r="E3" s="23" t="inlineStr">
        <is>
          <t>Y4</t>
        </is>
      </c>
      <c r="F3" s="23" t="inlineStr">
        <is>
          <t>Y5</t>
        </is>
      </c>
      <c r="G3" s="17" t="inlineStr">
        <is>
          <t>How</t>
        </is>
      </c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9" t="inlineStr">
        <is>
          <t>Drivers (green = from Inputs, active scenario)</t>
        </is>
      </c>
      <c r="B5" s="10" t="n"/>
      <c r="C5" s="10" t="n"/>
      <c r="D5" s="10" t="n"/>
      <c r="E5" s="10" t="n"/>
      <c r="F5" s="10" t="n"/>
      <c r="G5" s="10" t="n"/>
    </row>
    <row r="6">
      <c r="A6" s="11" t="inlineStr">
        <is>
          <t>Partner communities (avg active)</t>
        </is>
      </c>
      <c r="B6" s="24">
        <f>Inputs!$C$83</f>
        <v>4</v>
      </c>
      <c r="C6" s="24">
        <f>Inputs!$D$83</f>
        <v>12</v>
      </c>
      <c r="D6" s="24">
        <f>Inputs!$E$83</f>
        <v>30</v>
      </c>
      <c r="E6" s="24">
        <f>Inputs!$F$83</f>
        <v>60</v>
      </c>
      <c r="F6" s="24">
        <f>Inputs!$G$83</f>
        <v>100</v>
      </c>
      <c r="G6" s="7" t="n"/>
    </row>
    <row r="7">
      <c r="A7" s="11" t="inlineStr">
        <is>
          <t>Paying members per community</t>
        </is>
      </c>
      <c r="B7" s="24">
        <f>Inputs!$C$88</f>
        <v>40</v>
      </c>
      <c r="C7" s="24">
        <f>Inputs!$D$88</f>
        <v>60</v>
      </c>
      <c r="D7" s="24">
        <f>Inputs!$E$88</f>
        <v>80</v>
      </c>
      <c r="E7" s="24">
        <f>Inputs!$F$88</f>
        <v>100</v>
      </c>
      <c r="F7" s="24">
        <f>Inputs!$G$88</f>
        <v>120</v>
      </c>
      <c r="G7" s="7" t="n"/>
    </row>
    <row r="8">
      <c r="A8" s="11" t="inlineStr">
        <is>
          <t>Org seat packs, seats active</t>
        </is>
      </c>
      <c r="B8" s="24">
        <f>Inputs!$C$93</f>
        <v>0</v>
      </c>
      <c r="C8" s="24">
        <f>Inputs!$D$93</f>
        <v>300</v>
      </c>
      <c r="D8" s="24">
        <f>Inputs!$E$93</f>
        <v>2000</v>
      </c>
      <c r="E8" s="24">
        <f>Inputs!$F$93</f>
        <v>3500</v>
      </c>
      <c r="F8" s="24">
        <f>Inputs!$G$93</f>
        <v>6000</v>
      </c>
      <c r="G8" s="7" t="n"/>
    </row>
    <row r="9">
      <c r="A9" s="11" t="inlineStr">
        <is>
          <t>Class GMV per community, $/yr</t>
        </is>
      </c>
      <c r="B9" s="26">
        <f>Inputs!$C$98</f>
        <v>4000</v>
      </c>
      <c r="C9" s="26">
        <f>Inputs!$D$98</f>
        <v>8000</v>
      </c>
      <c r="D9" s="26">
        <f>Inputs!$E$98</f>
        <v>12000</v>
      </c>
      <c r="E9" s="26">
        <f>Inputs!$F$98</f>
        <v>16000</v>
      </c>
      <c r="F9" s="26">
        <f>Inputs!$G$98</f>
        <v>20000</v>
      </c>
      <c r="G9" s="7" t="n"/>
    </row>
    <row r="10">
      <c r="A10" s="11" t="inlineStr">
        <is>
          <t>Backing GMV per paying member, $/yr</t>
        </is>
      </c>
      <c r="B10" s="26">
        <f>Inputs!$C$103</f>
        <v>60</v>
      </c>
      <c r="C10" s="26">
        <f>Inputs!$D$103</f>
        <v>80</v>
      </c>
      <c r="D10" s="26">
        <f>Inputs!$E$103</f>
        <v>100</v>
      </c>
      <c r="E10" s="26">
        <f>Inputs!$F$103</f>
        <v>120</v>
      </c>
      <c r="F10" s="26">
        <f>Inputs!$G$103</f>
        <v>140</v>
      </c>
      <c r="G10" s="7" t="n"/>
    </row>
    <row r="11">
      <c r="A11" s="11" t="inlineStr">
        <is>
          <t>Share of communities on host/org plan</t>
        </is>
      </c>
      <c r="B11" s="25">
        <f>Inputs!$C$108</f>
        <v>0.25</v>
      </c>
      <c r="C11" s="25">
        <f>Inputs!$D$108</f>
        <v>0.35</v>
      </c>
      <c r="D11" s="25">
        <f>Inputs!$E$108</f>
        <v>0.45</v>
      </c>
      <c r="E11" s="25">
        <f>Inputs!$F$108</f>
        <v>0.5</v>
      </c>
      <c r="F11" s="25">
        <f>Inputs!$G$108</f>
        <v>0.5</v>
      </c>
      <c r="G11" s="7" t="n"/>
    </row>
    <row r="12">
      <c r="A12" s="11" t="inlineStr">
        <is>
          <t>Partner plans (gig posters)</t>
        </is>
      </c>
      <c r="B12" s="24">
        <f>Inputs!$C$113</f>
        <v>5</v>
      </c>
      <c r="C12" s="24">
        <f>Inputs!$D$113</f>
        <v>20</v>
      </c>
      <c r="D12" s="24">
        <f>Inputs!$E$113</f>
        <v>60</v>
      </c>
      <c r="E12" s="24">
        <f>Inputs!$F$113</f>
        <v>150</v>
      </c>
      <c r="F12" s="24">
        <f>Inputs!$G$113</f>
        <v>300</v>
      </c>
      <c r="G12" s="7" t="n"/>
    </row>
    <row r="13">
      <c r="A13" s="11" t="inlineStr">
        <is>
          <t>Gifts to partner-run programs, $/yr</t>
        </is>
      </c>
      <c r="B13" s="26">
        <f>Inputs!$C$118</f>
        <v>0</v>
      </c>
      <c r="C13" s="26">
        <f>Inputs!$D$118</f>
        <v>20000</v>
      </c>
      <c r="D13" s="26">
        <f>Inputs!$E$118</f>
        <v>60000</v>
      </c>
      <c r="E13" s="26">
        <f>Inputs!$F$118</f>
        <v>150000</v>
      </c>
      <c r="F13" s="26">
        <f>Inputs!$G$118</f>
        <v>300000</v>
      </c>
      <c r="G13" s="7" t="n"/>
    </row>
    <row r="14">
      <c r="A14" s="11" t="inlineStr">
        <is>
          <t>Event ticket GMV, $/yr</t>
        </is>
      </c>
      <c r="B14" s="26">
        <f>Inputs!$C$123</f>
        <v>5000</v>
      </c>
      <c r="C14" s="26">
        <f>Inputs!$D$123</f>
        <v>20000</v>
      </c>
      <c r="D14" s="26">
        <f>Inputs!$E$123</f>
        <v>60000</v>
      </c>
      <c r="E14" s="26">
        <f>Inputs!$F$123</f>
        <v>150000</v>
      </c>
      <c r="F14" s="26">
        <f>Inputs!$G$123</f>
        <v>300000</v>
      </c>
      <c r="G14" s="7" t="n"/>
    </row>
    <row r="15">
      <c r="A15" s="11" t="inlineStr">
        <is>
          <t>Sponsorships, count</t>
        </is>
      </c>
      <c r="B15" s="24">
        <f>Inputs!$C$128</f>
        <v>0</v>
      </c>
      <c r="C15" s="24">
        <f>Inputs!$D$128</f>
        <v>2</v>
      </c>
      <c r="D15" s="24">
        <f>Inputs!$E$128</f>
        <v>6</v>
      </c>
      <c r="E15" s="24">
        <f>Inputs!$F$128</f>
        <v>12</v>
      </c>
      <c r="F15" s="24">
        <f>Inputs!$G$128</f>
        <v>20</v>
      </c>
      <c r="G15" s="7" t="n"/>
    </row>
    <row r="16">
      <c r="A16" s="11" t="inlineStr">
        <is>
          <t>Franchise metros launched in the year</t>
        </is>
      </c>
      <c r="B16" s="24">
        <f>Inputs!$C$133</f>
        <v>0</v>
      </c>
      <c r="C16" s="24">
        <f>Inputs!$D$133</f>
        <v>2</v>
      </c>
      <c r="D16" s="24">
        <f>Inputs!$E$133</f>
        <v>4</v>
      </c>
      <c r="E16" s="24">
        <f>Inputs!$F$133</f>
        <v>6</v>
      </c>
      <c r="F16" s="24">
        <f>Inputs!$G$133</f>
        <v>8</v>
      </c>
      <c r="G16" s="7" t="n"/>
    </row>
    <row r="17">
      <c r="A17" s="11" t="inlineStr">
        <is>
          <t>Cost to launch a metro, $</t>
        </is>
      </c>
      <c r="B17" s="26">
        <f>Inputs!$C$138</f>
        <v>12000</v>
      </c>
      <c r="C17" s="26">
        <f>Inputs!$D$138</f>
        <v>12000</v>
      </c>
      <c r="D17" s="26">
        <f>Inputs!$E$138</f>
        <v>12000</v>
      </c>
      <c r="E17" s="26">
        <f>Inputs!$F$138</f>
        <v>12000</v>
      </c>
      <c r="F17" s="26">
        <f>Inputs!$G$138</f>
        <v>12000</v>
      </c>
      <c r="G17" s="7" t="n"/>
    </row>
    <row r="18">
      <c r="A18" s="11" t="inlineStr">
        <is>
          <t>Cost to support an active metro, $/yr</t>
        </is>
      </c>
      <c r="B18" s="26">
        <f>Inputs!$C$143</f>
        <v>6000</v>
      </c>
      <c r="C18" s="26">
        <f>Inputs!$D$143</f>
        <v>6000</v>
      </c>
      <c r="D18" s="26">
        <f>Inputs!$E$143</f>
        <v>6000</v>
      </c>
      <c r="E18" s="26">
        <f>Inputs!$F$143</f>
        <v>6000</v>
      </c>
      <c r="F18" s="26">
        <f>Inputs!$G$143</f>
        <v>6000</v>
      </c>
      <c r="G18" s="7" t="n"/>
    </row>
    <row r="19">
      <c r="A19" s="11" t="inlineStr">
        <is>
          <t>Communities per active metro</t>
        </is>
      </c>
      <c r="B19" s="24">
        <f>Inputs!$C$148</f>
        <v>2</v>
      </c>
      <c r="C19" s="24">
        <f>Inputs!$D$148</f>
        <v>3</v>
      </c>
      <c r="D19" s="24">
        <f>Inputs!$E$148</f>
        <v>4</v>
      </c>
      <c r="E19" s="24">
        <f>Inputs!$F$148</f>
        <v>5</v>
      </c>
      <c r="F19" s="24">
        <f>Inputs!$G$148</f>
        <v>6</v>
      </c>
      <c r="G19" s="7" t="n"/>
    </row>
    <row r="20">
      <c r="A20" s="11" t="inlineStr">
        <is>
          <t>Franchise metros active (cumulative, launch year counts)</t>
        </is>
      </c>
      <c r="B20" s="29">
        <f>B16</f>
        <v>0</v>
      </c>
      <c r="C20" s="29">
        <f>B20+C16</f>
        <v>2</v>
      </c>
      <c r="D20" s="29">
        <f>C20+D16</f>
        <v>6</v>
      </c>
      <c r="E20" s="29">
        <f>D20+E16</f>
        <v>12</v>
      </c>
      <c r="F20" s="29">
        <f>E20+F16</f>
        <v>20</v>
      </c>
      <c r="G20" s="8" t="inlineStr">
        <is>
          <t>running total of launches</t>
        </is>
      </c>
    </row>
    <row r="21">
      <c r="A21" s="11" t="inlineStr">
        <is>
          <t>Metro communities (avg active)</t>
        </is>
      </c>
      <c r="B21" s="29">
        <f>B20*B19</f>
        <v>0</v>
      </c>
      <c r="C21" s="29">
        <f>C20*C19</f>
        <v>6</v>
      </c>
      <c r="D21" s="29">
        <f>D20*D19</f>
        <v>24</v>
      </c>
      <c r="E21" s="29">
        <f>E20*E19</f>
        <v>60</v>
      </c>
      <c r="F21" s="29">
        <f>F20*F19</f>
        <v>120</v>
      </c>
      <c r="G21" s="8" t="inlineStr">
        <is>
          <t>metros × communities per metro</t>
        </is>
      </c>
    </row>
    <row r="22">
      <c r="A22" s="15" t="inlineStr">
        <is>
          <t>Partner communities, total (networks + metros)</t>
        </is>
      </c>
      <c r="B22" s="31">
        <f>B6+B21</f>
        <v>4</v>
      </c>
      <c r="C22" s="31">
        <f>C6+C21</f>
        <v>18</v>
      </c>
      <c r="D22" s="31">
        <f>D6+D21</f>
        <v>54</v>
      </c>
      <c r="E22" s="31">
        <f>E6+E21</f>
        <v>120</v>
      </c>
      <c r="F22" s="31">
        <f>F6+F21</f>
        <v>220</v>
      </c>
      <c r="G22" s="7" t="n"/>
    </row>
    <row r="23">
      <c r="A23" s="11" t="inlineStr">
        <is>
          <t>Paying members across partner communities</t>
        </is>
      </c>
      <c r="B23" s="29">
        <f>B22*B7</f>
        <v>160</v>
      </c>
      <c r="C23" s="29">
        <f>C22*C7</f>
        <v>1080</v>
      </c>
      <c r="D23" s="29">
        <f>D22*D7</f>
        <v>4320</v>
      </c>
      <c r="E23" s="29">
        <f>E22*E7</f>
        <v>12000</v>
      </c>
      <c r="F23" s="29">
        <f>F22*F7</f>
        <v>26400</v>
      </c>
      <c r="G23" s="8" t="inlineStr">
        <is>
          <t>communities × members per community</t>
        </is>
      </c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9" t="inlineStr">
        <is>
          <t>Money moved (GMV)</t>
        </is>
      </c>
      <c r="B25" s="10" t="n"/>
      <c r="C25" s="10" t="n"/>
      <c r="D25" s="10" t="n"/>
      <c r="E25" s="10" t="n"/>
      <c r="F25" s="10" t="n"/>
      <c r="G25" s="10" t="n"/>
    </row>
    <row r="26">
      <c r="A26" s="11" t="inlineStr">
        <is>
          <t>Partner-community dues GMV</t>
        </is>
      </c>
      <c r="B26" s="27">
        <f>B23*12*Inputs!$B$5*(1-Inputs!$B$7*(1-Inputs!$B$21))</f>
        <v>17919.744000000002</v>
      </c>
      <c r="C26" s="27">
        <f>C23*12*Inputs!$B$5*(1-Inputs!$B$7*(1-Inputs!$B$21))</f>
        <v>120958.27200000001</v>
      </c>
      <c r="D26" s="27">
        <f>D23*12*Inputs!$B$5*(1-Inputs!$B$7*(1-Inputs!$B$21))</f>
        <v>483833.08800000005</v>
      </c>
      <c r="E26" s="27">
        <f>E23*12*Inputs!$B$5*(1-Inputs!$B$7*(1-Inputs!$B$21))</f>
        <v>1343980.8</v>
      </c>
      <c r="F26" s="27">
        <f>F23*12*Inputs!$B$5*(1-Inputs!$B$7*(1-Inputs!$B$21))</f>
        <v>2956757.7600000002</v>
      </c>
      <c r="G26" s="8" t="inlineStr">
        <is>
          <t>members × $10 × 12, annual discount on the annual share</t>
        </is>
      </c>
    </row>
    <row r="27">
      <c r="A27" s="11" t="inlineStr">
        <is>
          <t>Org seat-pack GMV</t>
        </is>
      </c>
      <c r="B27" s="27">
        <f>B8*Inputs!$B$17</f>
        <v>0</v>
      </c>
      <c r="C27" s="27">
        <f>C8*Inputs!$B$17</f>
        <v>30000</v>
      </c>
      <c r="D27" s="27">
        <f>D8*Inputs!$B$17</f>
        <v>200000</v>
      </c>
      <c r="E27" s="27">
        <f>E8*Inputs!$B$17</f>
        <v>350000</v>
      </c>
      <c r="F27" s="27">
        <f>F8*Inputs!$B$17</f>
        <v>600000</v>
      </c>
      <c r="G27" s="7" t="n"/>
    </row>
    <row r="28">
      <c r="A28" s="11" t="inlineStr">
        <is>
          <t>Backings GMV</t>
        </is>
      </c>
      <c r="B28" s="27">
        <f>(B23+B8)*B10</f>
        <v>9600</v>
      </c>
      <c r="C28" s="27">
        <f>(C23+C8)*C10</f>
        <v>110400</v>
      </c>
      <c r="D28" s="27">
        <f>(D23+D8)*D10</f>
        <v>632000</v>
      </c>
      <c r="E28" s="27">
        <f>(E23+E8)*E10</f>
        <v>1860000</v>
      </c>
      <c r="F28" s="27">
        <f>(F23+F8)*F10</f>
        <v>4536000</v>
      </c>
      <c r="G28" s="7" t="n"/>
    </row>
    <row r="29">
      <c r="A29" s="11" t="inlineStr">
        <is>
          <t>Classes and premium GMV</t>
        </is>
      </c>
      <c r="B29" s="27">
        <f>B22*B9</f>
        <v>16000</v>
      </c>
      <c r="C29" s="27">
        <f>C22*C9</f>
        <v>144000</v>
      </c>
      <c r="D29" s="27">
        <f>D22*D9</f>
        <v>648000</v>
      </c>
      <c r="E29" s="27">
        <f>E22*E9</f>
        <v>1920000</v>
      </c>
      <c r="F29" s="27">
        <f>F22*F9</f>
        <v>4400000</v>
      </c>
      <c r="G29" s="7" t="n"/>
    </row>
    <row r="30">
      <c r="A30" s="11" t="inlineStr">
        <is>
          <t>Gifts to partner-run programs</t>
        </is>
      </c>
      <c r="B30" s="27">
        <f>B13</f>
        <v>0</v>
      </c>
      <c r="C30" s="27">
        <f>C13</f>
        <v>20000</v>
      </c>
      <c r="D30" s="27">
        <f>D13</f>
        <v>60000</v>
      </c>
      <c r="E30" s="27">
        <f>E13</f>
        <v>150000</v>
      </c>
      <c r="F30" s="27">
        <f>F13</f>
        <v>300000</v>
      </c>
      <c r="G30" s="7" t="n"/>
    </row>
    <row r="31">
      <c r="A31" s="11" t="inlineStr">
        <is>
          <t>Event tickets GMV</t>
        </is>
      </c>
      <c r="B31" s="27">
        <f>B14</f>
        <v>5000</v>
      </c>
      <c r="C31" s="27">
        <f>C14</f>
        <v>20000</v>
      </c>
      <c r="D31" s="27">
        <f>D14</f>
        <v>60000</v>
      </c>
      <c r="E31" s="27">
        <f>E14</f>
        <v>150000</v>
      </c>
      <c r="F31" s="27">
        <f>F14</f>
        <v>300000</v>
      </c>
      <c r="G31" s="7" t="n"/>
    </row>
    <row r="32">
      <c r="A32" s="11" t="inlineStr">
        <is>
          <t>Sponsorships</t>
        </is>
      </c>
      <c r="B32" s="27">
        <f>B15*Inputs!$B$18</f>
        <v>0</v>
      </c>
      <c r="C32" s="27">
        <f>C15*Inputs!$B$18</f>
        <v>10000</v>
      </c>
      <c r="D32" s="27">
        <f>D15*Inputs!$B$18</f>
        <v>30000</v>
      </c>
      <c r="E32" s="27">
        <f>E15*Inputs!$B$18</f>
        <v>60000</v>
      </c>
      <c r="F32" s="27">
        <f>F15*Inputs!$B$18</f>
        <v>100000</v>
      </c>
      <c r="G32" s="7" t="n"/>
    </row>
    <row r="33">
      <c r="A33" s="11" t="inlineStr">
        <is>
          <t>Host/org plan subscriptions (PROPOSED)</t>
        </is>
      </c>
      <c r="B33" s="27">
        <f>B22*B11*Inputs!$B$15*12</f>
        <v>600</v>
      </c>
      <c r="C33" s="27">
        <f>C22*C11*Inputs!$B$15*12</f>
        <v>3780</v>
      </c>
      <c r="D33" s="27">
        <f>D22*D11*Inputs!$B$15*12</f>
        <v>14580</v>
      </c>
      <c r="E33" s="27">
        <f>E22*E11*Inputs!$B$15*12</f>
        <v>36000</v>
      </c>
      <c r="F33" s="27">
        <f>F22*F11*Inputs!$B$15*12</f>
        <v>66000</v>
      </c>
      <c r="G33" s="7" t="n"/>
    </row>
    <row r="34">
      <c r="A34" s="11" t="inlineStr">
        <is>
          <t>Partner plan subscriptions (PROPOSED)</t>
        </is>
      </c>
      <c r="B34" s="27">
        <f>B12*Inputs!$B$16*12</f>
        <v>4740</v>
      </c>
      <c r="C34" s="27">
        <f>C12*Inputs!$B$16*12</f>
        <v>18960</v>
      </c>
      <c r="D34" s="27">
        <f>D12*Inputs!$B$16*12</f>
        <v>56880</v>
      </c>
      <c r="E34" s="27">
        <f>E12*Inputs!$B$16*12</f>
        <v>142200</v>
      </c>
      <c r="F34" s="27">
        <f>F12*Inputs!$B$16*12</f>
        <v>284400</v>
      </c>
      <c r="G34" s="7" t="n"/>
    </row>
    <row r="35">
      <c r="A35" s="15" t="inlineStr">
        <is>
          <t>TOTAL MONEY MOVED — Exchange</t>
        </is>
      </c>
      <c r="B35" s="28">
        <f>SUM(B26:B34)</f>
        <v>53859.744000000006</v>
      </c>
      <c r="C35" s="28">
        <f>SUM(C26:C34)</f>
        <v>478098.272</v>
      </c>
      <c r="D35" s="28">
        <f>SUM(D26:D34)</f>
        <v>2185293.088</v>
      </c>
      <c r="E35" s="28">
        <f>SUM(E26:E34)</f>
        <v>6012180.8</v>
      </c>
      <c r="F35" s="28">
        <f>SUM(F26:F34)</f>
        <v>13543157.76</v>
      </c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9" t="inlineStr">
        <is>
          <t>Platform revenue from the Exchange</t>
        </is>
      </c>
      <c r="B37" s="10" t="n"/>
      <c r="C37" s="10" t="n"/>
      <c r="D37" s="10" t="n"/>
      <c r="E37" s="10" t="n"/>
      <c r="F37" s="10" t="n"/>
      <c r="G37" s="10" t="n"/>
    </row>
    <row r="38">
      <c r="A38" s="11" t="inlineStr">
        <is>
          <t>Dues take (10%) incl. org seats</t>
        </is>
      </c>
      <c r="B38" s="27">
        <f>(B26+B27)*Inputs!$B$10</f>
        <v>1791.9744000000003</v>
      </c>
      <c r="C38" s="27">
        <f>(C26+C27)*Inputs!$B$10</f>
        <v>15095.8272</v>
      </c>
      <c r="D38" s="27">
        <f>(D26+D27)*Inputs!$B$10</f>
        <v>68383.3088</v>
      </c>
      <c r="E38" s="27">
        <f>(E26+E27)*Inputs!$B$10</f>
        <v>169398.08000000002</v>
      </c>
      <c r="F38" s="27">
        <f>(F26+F27)*Inputs!$B$10</f>
        <v>355675.77600000007</v>
      </c>
      <c r="G38" s="7" t="n"/>
    </row>
    <row r="39">
      <c r="A39" s="11" t="inlineStr">
        <is>
          <t>Backing fees</t>
        </is>
      </c>
      <c r="B39" s="27">
        <f>B28*Inputs!$B$11</f>
        <v>960.0</v>
      </c>
      <c r="C39" s="27">
        <f>C28*Inputs!$B$11</f>
        <v>11040.0</v>
      </c>
      <c r="D39" s="27">
        <f>D28*Inputs!$B$11</f>
        <v>63200.0</v>
      </c>
      <c r="E39" s="27">
        <f>E28*Inputs!$B$11</f>
        <v>186000.0</v>
      </c>
      <c r="F39" s="27">
        <f>F28*Inputs!$B$11</f>
        <v>453600.0</v>
      </c>
      <c r="G39" s="7" t="n"/>
    </row>
    <row r="40">
      <c r="A40" s="11" t="inlineStr">
        <is>
          <t>Class fees</t>
        </is>
      </c>
      <c r="B40" s="27">
        <f>B29*Inputs!$B$12</f>
        <v>1600.0</v>
      </c>
      <c r="C40" s="27">
        <f>C29*Inputs!$B$12</f>
        <v>14400.0</v>
      </c>
      <c r="D40" s="27">
        <f>D29*Inputs!$B$12</f>
        <v>64800.0</v>
      </c>
      <c r="E40" s="27">
        <f>E29*Inputs!$B$12</f>
        <v>192000.0</v>
      </c>
      <c r="F40" s="27">
        <f>F29*Inputs!$B$12</f>
        <v>440000.0</v>
      </c>
      <c r="G40" s="7" t="n"/>
    </row>
    <row r="41">
      <c r="A41" s="11" t="inlineStr">
        <is>
          <t>Program platform fee (5% of gifts)</t>
        </is>
      </c>
      <c r="B41" s="27">
        <f>B30*Inputs!$B$13</f>
        <v>0.0</v>
      </c>
      <c r="C41" s="27">
        <f>C30*Inputs!$B$13</f>
        <v>1000.0</v>
      </c>
      <c r="D41" s="27">
        <f>D30*Inputs!$B$13</f>
        <v>3000.0</v>
      </c>
      <c r="E41" s="27">
        <f>E30*Inputs!$B$13</f>
        <v>7500.0</v>
      </c>
      <c r="F41" s="27">
        <f>F30*Inputs!$B$13</f>
        <v>15000.0</v>
      </c>
      <c r="G41" s="7" t="n"/>
    </row>
    <row r="42">
      <c r="A42" s="11" t="inlineStr">
        <is>
          <t>Event ticket fees (PROPOSED)</t>
        </is>
      </c>
      <c r="B42" s="27">
        <f>B31*Inputs!$B$14</f>
        <v>250.0</v>
      </c>
      <c r="C42" s="27">
        <f>C31*Inputs!$B$14</f>
        <v>1000.0</v>
      </c>
      <c r="D42" s="27">
        <f>D31*Inputs!$B$14</f>
        <v>3000.0</v>
      </c>
      <c r="E42" s="27">
        <f>E31*Inputs!$B$14</f>
        <v>7500.0</v>
      </c>
      <c r="F42" s="27">
        <f>F31*Inputs!$B$14</f>
        <v>15000.0</v>
      </c>
      <c r="G42" s="7" t="n"/>
    </row>
    <row r="43">
      <c r="A43" s="11" t="inlineStr">
        <is>
          <t>Sponsorships (100% company)</t>
        </is>
      </c>
      <c r="B43" s="27">
        <f>B32</f>
        <v>0</v>
      </c>
      <c r="C43" s="27">
        <f>C32</f>
        <v>10000</v>
      </c>
      <c r="D43" s="27">
        <f>D32</f>
        <v>30000</v>
      </c>
      <c r="E43" s="27">
        <f>E32</f>
        <v>60000</v>
      </c>
      <c r="F43" s="27">
        <f>F32</f>
        <v>100000</v>
      </c>
      <c r="G43" s="7" t="n"/>
    </row>
    <row r="44">
      <c r="A44" s="11" t="inlineStr">
        <is>
          <t>Host/org plans (100% company, PROPOSED)</t>
        </is>
      </c>
      <c r="B44" s="27">
        <f>B33</f>
        <v>600</v>
      </c>
      <c r="C44" s="27">
        <f>C33</f>
        <v>3780</v>
      </c>
      <c r="D44" s="27">
        <f>D33</f>
        <v>14580</v>
      </c>
      <c r="E44" s="27">
        <f>E33</f>
        <v>36000</v>
      </c>
      <c r="F44" s="27">
        <f>F33</f>
        <v>66000</v>
      </c>
      <c r="G44" s="7" t="n"/>
    </row>
    <row r="45">
      <c r="A45" s="11" t="inlineStr">
        <is>
          <t>Partner plans (100% company, PROPOSED)</t>
        </is>
      </c>
      <c r="B45" s="27">
        <f>B34</f>
        <v>4740</v>
      </c>
      <c r="C45" s="27">
        <f>C34</f>
        <v>18960</v>
      </c>
      <c r="D45" s="27">
        <f>D34</f>
        <v>56880</v>
      </c>
      <c r="E45" s="27">
        <f>E34</f>
        <v>142200</v>
      </c>
      <c r="F45" s="27">
        <f>F34</f>
        <v>284400</v>
      </c>
      <c r="G45" s="7" t="n"/>
    </row>
    <row r="46">
      <c r="A46" s="15" t="inlineStr">
        <is>
          <t>EXCHANGE PLATFORM REVENUE</t>
        </is>
      </c>
      <c r="B46" s="28">
        <f>SUM(B38:B45)</f>
        <v>9941.9744</v>
      </c>
      <c r="C46" s="28">
        <f>SUM(C38:C45)</f>
        <v>75275.8272</v>
      </c>
      <c r="D46" s="28">
        <f>SUM(D38:D45)</f>
        <v>303843.3088</v>
      </c>
      <c r="E46" s="28">
        <f>SUM(E38:E45)</f>
        <v>800598.0800000001</v>
      </c>
      <c r="F46" s="28">
        <f>SUM(F38:F45)</f>
        <v>1729675.776</v>
      </c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9" t="inlineStr">
        <is>
          <t>What communities and creatives get (not company revenue)</t>
        </is>
      </c>
      <c r="B48" s="10" t="n"/>
      <c r="C48" s="10" t="n"/>
      <c r="D48" s="10" t="n"/>
      <c r="E48" s="10" t="n"/>
      <c r="F48" s="10" t="n"/>
      <c r="G48" s="10" t="n"/>
    </row>
    <row r="49">
      <c r="A49" s="11" t="inlineStr">
        <is>
          <t>Dues to partner communities (90%)</t>
        </is>
      </c>
      <c r="B49" s="27">
        <f>(B26+B27)*(1-Inputs!$B$10)</f>
        <v>16127.769600000003</v>
      </c>
      <c r="C49" s="27">
        <f>(C26+C27)*(1-Inputs!$B$10)</f>
        <v>135862.4448</v>
      </c>
      <c r="D49" s="27">
        <f>(D26+D27)*(1-Inputs!$B$10)</f>
        <v>615449.7792</v>
      </c>
      <c r="E49" s="27">
        <f>(E26+E27)*(1-Inputs!$B$10)</f>
        <v>1524582.72</v>
      </c>
      <c r="F49" s="27">
        <f>(F26+F27)*(1-Inputs!$B$10)</f>
        <v>3201081.984</v>
      </c>
      <c r="G49" s="7" t="n"/>
    </row>
    <row r="50">
      <c r="A50" s="11" t="inlineStr">
        <is>
          <t>To creatives and hosts (backings + classes, 90%)</t>
        </is>
      </c>
      <c r="B50" s="27">
        <f>B28*(1-Inputs!$B$11)+B29*(1-Inputs!$B$12)</f>
        <v>23040</v>
      </c>
      <c r="C50" s="27">
        <f>C28*(1-Inputs!$B$11)+C29*(1-Inputs!$B$12)</f>
        <v>228960</v>
      </c>
      <c r="D50" s="27">
        <f>D28*(1-Inputs!$B$11)+D29*(1-Inputs!$B$12)</f>
        <v>1152000</v>
      </c>
      <c r="E50" s="27">
        <f>E28*(1-Inputs!$B$11)+E29*(1-Inputs!$B$12)</f>
        <v>3402000</v>
      </c>
      <c r="F50" s="27">
        <f>F28*(1-Inputs!$B$11)+F29*(1-Inputs!$B$12)</f>
        <v>8042400</v>
      </c>
      <c r="G50" s="7" t="n"/>
    </row>
    <row r="51">
      <c r="A51" s="11" t="inlineStr">
        <is>
          <t>Program dollars (gifts ~90%)</t>
        </is>
      </c>
      <c r="B51" s="27">
        <f>B30*(1-Inputs!$B$13*2)</f>
        <v>0.0</v>
      </c>
      <c r="C51" s="27">
        <f>C30*(1-Inputs!$B$13*2)</f>
        <v>18000.0</v>
      </c>
      <c r="D51" s="27">
        <f>D30*(1-Inputs!$B$13*2)</f>
        <v>54000.0</v>
      </c>
      <c r="E51" s="27">
        <f>E30*(1-Inputs!$B$13*2)</f>
        <v>135000.0</v>
      </c>
      <c r="F51" s="27">
        <f>F30*(1-Inputs!$B$13*2)</f>
        <v>270000.0</v>
      </c>
      <c r="G51" s="7" t="n"/>
    </row>
    <row r="52">
      <c r="A52" s="7" t="n"/>
      <c r="B52" s="7" t="n"/>
      <c r="C52" s="7" t="n"/>
      <c r="D52" s="7" t="n"/>
      <c r="E52" s="7" t="n"/>
      <c r="F52" s="7" t="n"/>
      <c r="G52" s="7" t="n"/>
    </row>
    <row r="53">
      <c r="A53" s="9" t="inlineStr">
        <is>
          <t>Exchange direct costs</t>
        </is>
      </c>
      <c r="B53" s="10" t="n"/>
      <c r="C53" s="10" t="n"/>
      <c r="D53" s="10" t="n"/>
      <c r="E53" s="10" t="n"/>
      <c r="F53" s="10" t="n"/>
      <c r="G53" s="10" t="n"/>
    </row>
    <row r="54">
      <c r="A54" s="11" t="inlineStr">
        <is>
          <t>Card processing absorbed on dues (monthly share)</t>
        </is>
      </c>
      <c r="B54" s="27">
        <f>B26*Inputs!$B$21*(Inputs!$B$19+Inputs!$B$20/Inputs!$B$5)+B26*(1-Inputs!$B$21)*Inputs!$B$19</f>
        <v>842.227968</v>
      </c>
      <c r="C54" s="27">
        <f>C26*Inputs!$B$21*(Inputs!$B$19+Inputs!$B$20/Inputs!$B$5)+C26*(1-Inputs!$B$21)*Inputs!$B$19</f>
        <v>5685.038783999999</v>
      </c>
      <c r="D54" s="27">
        <f>D26*Inputs!$B$21*(Inputs!$B$19+Inputs!$B$20/Inputs!$B$5)+D26*(1-Inputs!$B$21)*Inputs!$B$19</f>
        <v>22740.155135999998</v>
      </c>
      <c r="E54" s="27">
        <f>E26*Inputs!$B$21*(Inputs!$B$19+Inputs!$B$20/Inputs!$B$5)+E26*(1-Inputs!$B$21)*Inputs!$B$19</f>
        <v>63167.0976</v>
      </c>
      <c r="F54" s="27">
        <f>F26*Inputs!$B$21*(Inputs!$B$19+Inputs!$B$20/Inputs!$B$5)+F26*(1-Inputs!$B$21)*Inputs!$B$19</f>
        <v>138967.61472</v>
      </c>
      <c r="G54" s="7" t="n"/>
    </row>
    <row r="55">
      <c r="A55" s="11" t="inlineStr">
        <is>
          <t>Payout costs (dues to communities, backings, classes)</t>
        </is>
      </c>
      <c r="B55" s="27">
        <f>(B49+B50)*Inputs!$B$22</f>
        <v>391.677696</v>
      </c>
      <c r="C55" s="27">
        <f>(C49+C50)*Inputs!$B$22</f>
        <v>3648.224448</v>
      </c>
      <c r="D55" s="27">
        <f>(D49+D50)*Inputs!$B$22</f>
        <v>17674.497792000002</v>
      </c>
      <c r="E55" s="27">
        <f>(E49+E50)*Inputs!$B$22</f>
        <v>49265.8272</v>
      </c>
      <c r="F55" s="27">
        <f>(F49+F50)*Inputs!$B$22</f>
        <v>112434.81984000001</v>
      </c>
      <c r="G55" s="7" t="n"/>
    </row>
    <row r="56">
      <c r="A56" s="15" t="inlineStr">
        <is>
          <t>EXCHANGE TRACK CONTRIBUTION</t>
        </is>
      </c>
      <c r="B56" s="28">
        <f>B46-B54-B55</f>
        <v>8708.068736</v>
      </c>
      <c r="C56" s="28">
        <f>C46-C54-C55</f>
        <v>65942.563968</v>
      </c>
      <c r="D56" s="28">
        <f>D46-D54-D55</f>
        <v>263428.655872</v>
      </c>
      <c r="E56" s="28">
        <f>E46-E54-E55</f>
        <v>688165.1552000002</v>
      </c>
      <c r="F56" s="28">
        <f>F46-F54-F55</f>
        <v>1478273.34144</v>
      </c>
      <c r="G56" s="7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11" t="inlineStr">
        <is>
          <t>Memo: platform revenue per paying member per year</t>
        </is>
      </c>
      <c r="B58" s="30">
        <f>IF((B23+B8)=0,0,B46/(B23+B8))</f>
        <v>62.137339999999995</v>
      </c>
      <c r="C58" s="30">
        <f>IF((C23+C8)=0,0,C46/(C23+C8))</f>
        <v>54.54770086956522</v>
      </c>
      <c r="D58" s="30">
        <f>IF((D23+D8)=0,0,D46/(D23+D8))</f>
        <v>48.07647291139241</v>
      </c>
      <c r="E58" s="30">
        <f>IF((E23+E8)=0,0,E46/(E23+E8))</f>
        <v>51.65148903225807</v>
      </c>
      <c r="F58" s="30">
        <f>IF((F23+F8)=0,0,F46/(F23+F8))</f>
        <v>53.385054814814815</v>
      </c>
      <c r="G58" s="7" t="n"/>
    </row>
    <row r="59">
      <c r="A59" s="11" t="inlineStr">
        <is>
          <t>Memo: platform revenue per partner community per year</t>
        </is>
      </c>
      <c r="B59" s="27">
        <f>IF(B6=0,0,B46/B6)</f>
        <v>2485.4936</v>
      </c>
      <c r="C59" s="27">
        <f>IF(C6=0,0,C46/C6)</f>
        <v>6272.9856</v>
      </c>
      <c r="D59" s="27">
        <f>IF(D6=0,0,D46/D6)</f>
        <v>10128.110293333333</v>
      </c>
      <c r="E59" s="27">
        <f>IF(E6=0,0,E46/E6)</f>
        <v>13343.301333333335</v>
      </c>
      <c r="F59" s="27">
        <f>IF(F6=0,0,F46/F6)</f>
        <v>17296.75776</v>
      </c>
      <c r="G59" s="8" t="inlineStr">
        <is>
          <t>Skool charges a community $99/mo = $1,188/yr (Comps)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60" customWidth="1" min="7" max="7"/>
  </cols>
  <sheetData>
    <row r="1">
      <c r="A1" s="6" t="inlineStr">
        <is>
          <t>Combined — revenue by source, costs, cash</t>
        </is>
      </c>
      <c r="B1" s="7" t="n"/>
      <c r="C1" s="7" t="n"/>
      <c r="D1" s="7" t="n"/>
      <c r="E1" s="7" t="n"/>
      <c r="F1" s="7" t="n"/>
      <c r="G1" s="7" t="n"/>
    </row>
    <row r="2">
      <c r="A2" s="15" t="str">
        <f>IF(Inputs!$B$29=1,"Scenario: Conservative",IF(Inputs!$B$29=2,"Scenario: Base","Scenario: Fundable"))</f>
        <v>Scenario: Base</v>
      </c>
      <c r="B2" s="7" t="n"/>
      <c r="C2" s="7" t="n"/>
      <c r="D2" s="7" t="n"/>
      <c r="E2" s="7" t="n"/>
      <c r="F2" s="7" t="n"/>
      <c r="G2" s="7" t="n"/>
    </row>
    <row r="3">
      <c r="A3" s="22" t="inlineStr"/>
      <c r="B3" s="23" t="inlineStr">
        <is>
          <t>Y1 (Nov26–Oct27)</t>
        </is>
      </c>
      <c r="C3" s="23" t="inlineStr">
        <is>
          <t>Y2</t>
        </is>
      </c>
      <c r="D3" s="23" t="inlineStr">
        <is>
          <t>Y3</t>
        </is>
      </c>
      <c r="E3" s="23" t="inlineStr">
        <is>
          <t>Y4</t>
        </is>
      </c>
      <c r="F3" s="23" t="inlineStr">
        <is>
          <t>Y5</t>
        </is>
      </c>
      <c r="G3" s="17" t="inlineStr">
        <is>
          <t>How</t>
        </is>
      </c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9" t="inlineStr">
        <is>
          <t>Platform revenue by source (both tracks)</t>
        </is>
      </c>
      <c r="B5" s="10" t="n"/>
      <c r="C5" s="10" t="n"/>
      <c r="D5" s="10" t="n"/>
      <c r="E5" s="10" t="n"/>
      <c r="F5" s="10" t="n"/>
      <c r="G5" s="10" t="n"/>
    </row>
    <row r="6">
      <c r="A6" s="11" t="inlineStr">
        <is>
          <t>Membership dues kept (Garden house share + 10% of partner dues)</t>
        </is>
      </c>
      <c r="B6" s="26">
        <f>Garden!B27+Exchange!B38</f>
        <v>13321.845400000002</v>
      </c>
      <c r="C6" s="26">
        <f>Garden!C27+Exchange!C38</f>
        <v>50855.4592</v>
      </c>
      <c r="D6" s="26">
        <f>Garden!D27+Exchange!D38</f>
        <v>148262.5248</v>
      </c>
      <c r="E6" s="26">
        <f>Garden!E27+Exchange!E38</f>
        <v>301756.83200000005</v>
      </c>
      <c r="F6" s="26">
        <f>Garden!F27+Exchange!F38</f>
        <v>542154.1120000001</v>
      </c>
      <c r="G6" s="7" t="n"/>
    </row>
    <row r="7">
      <c r="A7" s="11" t="inlineStr">
        <is>
          <t>Backing fees (10%)</t>
        </is>
      </c>
      <c r="B7" s="26">
        <f>Garden!B28+Exchange!B39</f>
        <v>2460</v>
      </c>
      <c r="C7" s="26">
        <f>Garden!C28+Exchange!C39</f>
        <v>17040</v>
      </c>
      <c r="D7" s="26">
        <f>Garden!D28+Exchange!D39</f>
        <v>79450</v>
      </c>
      <c r="E7" s="26">
        <f>Garden!E28+Exchange!E39</f>
        <v>217500</v>
      </c>
      <c r="F7" s="26">
        <f>Garden!F28+Exchange!F39</f>
        <v>506100</v>
      </c>
      <c r="G7" s="7" t="n"/>
    </row>
    <row r="8">
      <c r="A8" s="11" t="inlineStr">
        <is>
          <t>Class and premium fees (10%)</t>
        </is>
      </c>
      <c r="B8" s="26">
        <f>Garden!B29+Exchange!B40</f>
        <v>2800</v>
      </c>
      <c r="C8" s="26">
        <f>Garden!C29+Exchange!C40</f>
        <v>19200</v>
      </c>
      <c r="D8" s="26">
        <f>Garden!D29+Exchange!D40</f>
        <v>77800</v>
      </c>
      <c r="E8" s="26">
        <f>Garden!E29+Exchange!E40</f>
        <v>217200</v>
      </c>
      <c r="F8" s="26">
        <f>Garden!F29+Exchange!F40</f>
        <v>482000</v>
      </c>
      <c r="G8" s="7" t="n"/>
    </row>
    <row r="9">
      <c r="A9" s="11" t="inlineStr">
        <is>
          <t>Program platform fees (5% of gifts)</t>
        </is>
      </c>
      <c r="B9" s="26">
        <f>Garden!B30+Exchange!B41</f>
        <v>1250</v>
      </c>
      <c r="C9" s="26">
        <f>Garden!C30+Exchange!C41</f>
        <v>4000</v>
      </c>
      <c r="D9" s="26">
        <f>Garden!D30+Exchange!D41</f>
        <v>9000</v>
      </c>
      <c r="E9" s="26">
        <f>Garden!E30+Exchange!E41</f>
        <v>17500</v>
      </c>
      <c r="F9" s="26">
        <f>Garden!F30+Exchange!F41</f>
        <v>30000</v>
      </c>
      <c r="G9" s="7" t="n"/>
    </row>
    <row r="10">
      <c r="A10" s="11" t="inlineStr">
        <is>
          <t>Event ticket fees (5%, PROPOSED)</t>
        </is>
      </c>
      <c r="B10" s="26">
        <f>Garden!B31+Exchange!B42</f>
        <v>1000</v>
      </c>
      <c r="C10" s="26">
        <f>Garden!C31+Exchange!C42</f>
        <v>2500</v>
      </c>
      <c r="D10" s="26">
        <f>Garden!D31+Exchange!D42</f>
        <v>5500</v>
      </c>
      <c r="E10" s="26">
        <f>Garden!E31+Exchange!E42</f>
        <v>11250</v>
      </c>
      <c r="F10" s="26">
        <f>Garden!F31+Exchange!F42</f>
        <v>20000</v>
      </c>
      <c r="G10" s="7" t="n"/>
    </row>
    <row r="11">
      <c r="A11" s="11" t="inlineStr">
        <is>
          <t>Sponsorships</t>
        </is>
      </c>
      <c r="B11" s="26">
        <f>Garden!B32+Exchange!B43</f>
        <v>10000</v>
      </c>
      <c r="C11" s="26">
        <f>Garden!C32+Exchange!C43</f>
        <v>30000</v>
      </c>
      <c r="D11" s="26">
        <f>Garden!D32+Exchange!D43</f>
        <v>70000</v>
      </c>
      <c r="E11" s="26">
        <f>Garden!E32+Exchange!E43</f>
        <v>120000</v>
      </c>
      <c r="F11" s="26">
        <f>Garden!F32+Exchange!F43</f>
        <v>180000</v>
      </c>
      <c r="G11" s="7" t="n"/>
    </row>
    <row r="12">
      <c r="A12" s="11" t="inlineStr">
        <is>
          <t>Host/org plans (PROPOSED)</t>
        </is>
      </c>
      <c r="B12" s="26">
        <f>Exchange!B44</f>
        <v>600</v>
      </c>
      <c r="C12" s="26">
        <f>Exchange!C44</f>
        <v>3780</v>
      </c>
      <c r="D12" s="26">
        <f>Exchange!D44</f>
        <v>14580</v>
      </c>
      <c r="E12" s="26">
        <f>Exchange!E44</f>
        <v>36000</v>
      </c>
      <c r="F12" s="26">
        <f>Exchange!F44</f>
        <v>66000</v>
      </c>
      <c r="G12" s="7" t="n"/>
    </row>
    <row r="13">
      <c r="A13" s="11" t="inlineStr">
        <is>
          <t>Partner plans for gig posters (PROPOSED)</t>
        </is>
      </c>
      <c r="B13" s="26">
        <f>Exchange!B45</f>
        <v>4740</v>
      </c>
      <c r="C13" s="26">
        <f>Exchange!C45</f>
        <v>18960</v>
      </c>
      <c r="D13" s="26">
        <f>Exchange!D45</f>
        <v>56880</v>
      </c>
      <c r="E13" s="26">
        <f>Exchange!E45</f>
        <v>142200</v>
      </c>
      <c r="F13" s="26">
        <f>Exchange!F45</f>
        <v>284400</v>
      </c>
      <c r="G13" s="7" t="n"/>
    </row>
    <row r="14">
      <c r="A14" s="15" t="inlineStr">
        <is>
          <t>TOTAL PLATFORM REVENUE</t>
        </is>
      </c>
      <c r="B14" s="28">
        <f>SUM(B6:B13)</f>
        <v>36171.845400000006</v>
      </c>
      <c r="C14" s="28">
        <f>SUM(C6:C13)</f>
        <v>146335.45919999998</v>
      </c>
      <c r="D14" s="28">
        <f>SUM(D6:D13)</f>
        <v>461472.5248</v>
      </c>
      <c r="E14" s="28">
        <f>SUM(E6:E13)</f>
        <v>1063406.832</v>
      </c>
      <c r="F14" s="28">
        <f>SUM(F6:F13)</f>
        <v>2110654.112</v>
      </c>
      <c r="G14" s="7" t="n"/>
    </row>
    <row r="15">
      <c r="A15" s="11" t="inlineStr">
        <is>
          <t xml:space="preserve">  of which The Garden (track A)</t>
        </is>
      </c>
      <c r="B15" s="26">
        <f>Garden!B33</f>
        <v>26229.871</v>
      </c>
      <c r="C15" s="26">
        <f>Garden!C33</f>
        <v>71059.632</v>
      </c>
      <c r="D15" s="26">
        <f>Garden!D33</f>
        <v>157629.21600000001</v>
      </c>
      <c r="E15" s="26">
        <f>Garden!E33</f>
        <v>262808.752</v>
      </c>
      <c r="F15" s="26">
        <f>Garden!F33</f>
        <v>380978.336</v>
      </c>
      <c r="G15" s="7" t="n"/>
    </row>
    <row r="16">
      <c r="A16" s="11" t="inlineStr">
        <is>
          <t xml:space="preserve">  of which The Exchange (track B)</t>
        </is>
      </c>
      <c r="B16" s="26">
        <f>Exchange!B46</f>
        <v>9941.9744</v>
      </c>
      <c r="C16" s="26">
        <f>Exchange!C46</f>
        <v>75275.8272</v>
      </c>
      <c r="D16" s="26">
        <f>Exchange!D46</f>
        <v>303843.3088</v>
      </c>
      <c r="E16" s="26">
        <f>Exchange!E46</f>
        <v>800598.0800000001</v>
      </c>
      <c r="F16" s="26">
        <f>Exchange!F46</f>
        <v>1729675.776</v>
      </c>
      <c r="G16" s="7" t="n"/>
    </row>
    <row r="17">
      <c r="A17" s="11" t="inlineStr">
        <is>
          <t xml:space="preserve">  share from PROPOSED lines (plans, event fees)</t>
        </is>
      </c>
      <c r="B17" s="32">
        <f>IF(B14=0,0,(B10+B12+B13)/B14)</f>
        <v>0.17527444148591875</v>
      </c>
      <c r="C17" s="32">
        <f>IF(C14=0,0,(C10+C12+C13)/C14)</f>
        <v>0.17248040999757905</v>
      </c>
      <c r="D17" s="32">
        <f>IF(D14=0,0,(D10+D12+D13)/D14)</f>
        <v>0.16677049198834556</v>
      </c>
      <c r="E17" s="32">
        <f>IF(E14=0,0,(E10+E12+E13)/E14)</f>
        <v>0.17815383002918306</v>
      </c>
      <c r="F17" s="32">
        <f>IF(F14=0,0,(F10+F12+F13)/F14)</f>
        <v>0.1754906206062436</v>
      </c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9" t="inlineStr">
        <is>
          <t>Scale</t>
        </is>
      </c>
      <c r="B19" s="10" t="n"/>
      <c r="C19" s="10" t="n"/>
      <c r="D19" s="10" t="n"/>
      <c r="E19" s="10" t="n"/>
      <c r="F19" s="10" t="n"/>
      <c r="G19" s="10" t="n"/>
    </row>
    <row r="20">
      <c r="A20" s="11" t="inlineStr">
        <is>
          <t>Total money moved (GMV, both tracks)</t>
        </is>
      </c>
      <c r="B20" s="26">
        <f>Garden!B24+Exchange!B35</f>
        <v>153919.486</v>
      </c>
      <c r="C20" s="26">
        <f>Garden!C24+Exchange!C35</f>
        <v>767617.536</v>
      </c>
      <c r="D20" s="26">
        <f>Garden!D24+Exchange!D35</f>
        <v>2847551.52</v>
      </c>
      <c r="E20" s="26">
        <f>Garden!E24+Exchange!E35</f>
        <v>7178898.304</v>
      </c>
      <c r="F20" s="26">
        <f>Garden!F24+Exchange!F35</f>
        <v>15341114.432</v>
      </c>
      <c r="G20" s="7" t="n"/>
    </row>
    <row r="21">
      <c r="A21" s="11" t="inlineStr">
        <is>
          <t>Paying and covered members, all communities</t>
        </is>
      </c>
      <c r="B21" s="24">
        <f>Garden!B6+Garden!B7+Exchange!B23+Exchange!B8</f>
        <v>360</v>
      </c>
      <c r="C21" s="24">
        <f>Garden!C6+Garden!C7+Exchange!C23+Exchange!C8</f>
        <v>1980</v>
      </c>
      <c r="D21" s="24">
        <f>Garden!D6+Garden!D7+Exchange!D23+Exchange!D8</f>
        <v>7620</v>
      </c>
      <c r="E21" s="24">
        <f>Garden!E6+Garden!E7+Exchange!E23+Exchange!E8</f>
        <v>17600</v>
      </c>
      <c r="F21" s="24">
        <f>Garden!F6+Garden!F7+Exchange!F23+Exchange!F8</f>
        <v>35400</v>
      </c>
      <c r="G21" s="7" t="n"/>
    </row>
    <row r="22">
      <c r="A22" s="11" t="inlineStr">
        <is>
          <t>Paying individuals (Garden members + partner-community members)</t>
        </is>
      </c>
      <c r="B22" s="24">
        <f>Garden!B6+Exchange!B23</f>
        <v>310</v>
      </c>
      <c r="C22" s="24">
        <f>Garden!C6+Exchange!C23</f>
        <v>1480</v>
      </c>
      <c r="D22" s="24">
        <f>Garden!D6+Exchange!D23</f>
        <v>5120</v>
      </c>
      <c r="E22" s="24">
        <f>Garden!E6+Exchange!E23</f>
        <v>13200</v>
      </c>
      <c r="F22" s="24">
        <f>Garden!F6+Exchange!F23</f>
        <v>28000</v>
      </c>
      <c r="G22" s="8" t="inlineStr">
        <is>
          <t>founder minimum is 3,000 by year three</t>
        </is>
      </c>
    </row>
    <row r="23">
      <c r="A23" s="11" t="inlineStr">
        <is>
          <t>Seats bought by organizations (church-covered + org seat packs)</t>
        </is>
      </c>
      <c r="B23" s="24">
        <f>Garden!B7+Exchange!B8</f>
        <v>50</v>
      </c>
      <c r="C23" s="24">
        <f>Garden!C7+Exchange!C8</f>
        <v>500</v>
      </c>
      <c r="D23" s="24">
        <f>Garden!D7+Exchange!D8</f>
        <v>2500</v>
      </c>
      <c r="E23" s="24">
        <f>Garden!E7+Exchange!E8</f>
        <v>4400</v>
      </c>
      <c r="F23" s="24">
        <f>Garden!F7+Exchange!F8</f>
        <v>7400</v>
      </c>
      <c r="G23" s="7" t="n"/>
    </row>
    <row r="24">
      <c r="A24" s="11" t="inlineStr">
        <is>
          <t>Revenue from organization-bought seats (seat fees + fees on what those holders buy)</t>
        </is>
      </c>
      <c r="B24" s="27">
        <f>Garden!B18*Inputs!$B$9+Exchange!B27*Inputs!$B$10+Garden!B7*(Garden!B9*Inputs!$B$11+Garden!B10*Inputs!$B$12)+Exchange!B8*Exchange!B10*Inputs!$B$11</f>
        <v>3175</v>
      </c>
      <c r="C24" s="27">
        <f>Garden!C18*Inputs!$B$9+Exchange!C27*Inputs!$B$10+Garden!C7*(Garden!C9*Inputs!$B$11+Garden!C10*Inputs!$B$12)+Exchange!C8*Exchange!C10*Inputs!$B$11</f>
        <v>19000</v>
      </c>
      <c r="D24" s="27">
        <f>Garden!D18*Inputs!$B$9+Exchange!D27*Inputs!$B$10+Garden!D7*(Garden!D9*Inputs!$B$11+Garden!D10*Inputs!$B$12)+Exchange!D8*Exchange!D10*Inputs!$B$11</f>
        <v>76250</v>
      </c>
      <c r="E24" s="27">
        <f>Garden!E18*Inputs!$B$9+Exchange!E27*Inputs!$B$10+Garden!E7*(Garden!E9*Inputs!$B$11+Garden!E10*Inputs!$B$12)+Exchange!E8*Exchange!E10*Inputs!$B$11</f>
        <v>146300</v>
      </c>
      <c r="F24" s="27">
        <f>Garden!F18*Inputs!$B$9+Exchange!F27*Inputs!$B$10+Garden!F7*(Garden!F9*Inputs!$B$11+Garden!F10*Inputs!$B$12)+Exchange!F8*Exchange!F10*Inputs!$B$11</f>
        <v>258100</v>
      </c>
      <c r="G24" s="8" t="inlineStr">
        <is>
          <t>house share of church seat packs, 10% of org seat packs, plus 10% of the backings and classes those seat holders buy</t>
        </is>
      </c>
    </row>
    <row r="25">
      <c r="A25" s="11" t="inlineStr">
        <is>
          <t xml:space="preserve">  share of platform revenue</t>
        </is>
      </c>
      <c r="B25" s="32">
        <f>IF(B14=0,0,B24/B14)</f>
        <v>0.08777544979775899</v>
      </c>
      <c r="C25" s="32">
        <f>IF(C14=0,0,C24/C14)</f>
        <v>0.12983866045776554</v>
      </c>
      <c r="D25" s="32">
        <f>IF(D14=0,0,D24/D14)</f>
        <v>0.1652319388527982</v>
      </c>
      <c r="E25" s="32">
        <f>IF(E14=0,0,E24/E14)</f>
        <v>0.1375766974572155</v>
      </c>
      <c r="F25" s="32">
        <f>IF(F14=0,0,F24/F14)</f>
        <v>0.12228436603259037</v>
      </c>
      <c r="G25" s="7" t="n"/>
    </row>
    <row r="26">
      <c r="A26" s="11" t="inlineStr">
        <is>
          <t>Communities (Garden + partners incl. metros)</t>
        </is>
      </c>
      <c r="B26" s="24">
        <f>1+Exchange!B22</f>
        <v>5</v>
      </c>
      <c r="C26" s="24">
        <f>1+Exchange!C22</f>
        <v>19</v>
      </c>
      <c r="D26" s="24">
        <f>1+Exchange!D22</f>
        <v>55</v>
      </c>
      <c r="E26" s="24">
        <f>1+Exchange!E22</f>
        <v>121</v>
      </c>
      <c r="F26" s="24">
        <f>1+Exchange!F22</f>
        <v>221</v>
      </c>
      <c r="G26" s="7" t="n"/>
    </row>
    <row r="27">
      <c r="A27" s="11" t="inlineStr">
        <is>
          <t>Franchise metros active</t>
        </is>
      </c>
      <c r="B27" s="24">
        <f>Exchange!B20</f>
        <v>0</v>
      </c>
      <c r="C27" s="24">
        <f>Exchange!C20</f>
        <v>2</v>
      </c>
      <c r="D27" s="24">
        <f>Exchange!D20</f>
        <v>6</v>
      </c>
      <c r="E27" s="24">
        <f>Exchange!E20</f>
        <v>12</v>
      </c>
      <c r="F27" s="24">
        <f>Exchange!F20</f>
        <v>20</v>
      </c>
      <c r="G27" s="7" t="n"/>
    </row>
    <row r="28">
      <c r="A28" s="11" t="inlineStr">
        <is>
          <t>Dollars to creatives, hosts and programs (impact)</t>
        </is>
      </c>
      <c r="B28" s="26">
        <f>Garden!B19*(1-Inputs!$B$11)+Garden!B20*(1-Inputs!$B$12)+Garden!B38+Exchange!B50+Exchange!B51</f>
        <v>81369.871</v>
      </c>
      <c r="C28" s="26">
        <f>Garden!C19*(1-Inputs!$B$11)+Garden!C20*(1-Inputs!$B$12)+Garden!C38+Exchange!C50+Exchange!C51</f>
        <v>433919.632</v>
      </c>
      <c r="D28" s="26">
        <f>Garden!D19*(1-Inputs!$B$11)+Garden!D20*(1-Inputs!$B$12)+Garden!D38+Exchange!D50+Exchange!D51</f>
        <v>1657129.216</v>
      </c>
      <c r="E28" s="26">
        <f>Garden!E19*(1-Inputs!$B$11)+Garden!E20*(1-Inputs!$B$12)+Garden!E38+Exchange!E50+Exchange!E51</f>
        <v>4359658.752</v>
      </c>
      <c r="F28" s="26">
        <f>Garden!F19*(1-Inputs!$B$11)+Garden!F20*(1-Inputs!$B$12)+Garden!F38+Exchange!F50+Exchange!F51</f>
        <v>9619378.336</v>
      </c>
      <c r="G28" s="8" t="inlineStr">
        <is>
          <t>what the impact report counts</t>
        </is>
      </c>
    </row>
    <row r="29">
      <c r="A29" s="11" t="inlineStr">
        <is>
          <t>Platform revenue per paying/covered member per year</t>
        </is>
      </c>
      <c r="B29" s="30">
        <f>IF(B21=0,0,B14/B21)</f>
        <v>100.47734833333335</v>
      </c>
      <c r="C29" s="30">
        <f>IF(C21=0,0,C14/C21)</f>
        <v>73.90679757575757</v>
      </c>
      <c r="D29" s="30">
        <f>IF(D21=0,0,D14/D21)</f>
        <v>60.56069879265092</v>
      </c>
      <c r="E29" s="30">
        <f>IF(E21=0,0,E14/E21)</f>
        <v>60.42084272727272</v>
      </c>
      <c r="F29" s="30">
        <f>IF(F21=0,0,F14/F21)</f>
        <v>59.6229975141243</v>
      </c>
      <c r="G29" s="7" t="n"/>
    </row>
    <row r="30">
      <c r="A30" s="11" t="inlineStr">
        <is>
          <t>Effective take rate (revenue / GMV)</t>
        </is>
      </c>
      <c r="B30" s="32">
        <f>IF(B20=0,0,B14/B20)</f>
        <v>0.23500497786225719</v>
      </c>
      <c r="C30" s="32">
        <f>IF(C20=0,0,C14/C20)</f>
        <v>0.19063589917779053</v>
      </c>
      <c r="D30" s="32">
        <f>IF(D20=0,0,D14/D20)</f>
        <v>0.16205941193998133</v>
      </c>
      <c r="E30" s="32">
        <f>IF(E20=0,0,E14/E20)</f>
        <v>0.14812953004327722</v>
      </c>
      <c r="F30" s="32">
        <f>IF(F20=0,0,F14/F20)</f>
        <v>0.13758153759660322</v>
      </c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9" t="inlineStr">
        <is>
          <t>Costs by function (salaries carry the payroll load; founders before employees)</t>
        </is>
      </c>
      <c r="B32" s="10" t="n"/>
      <c r="C32" s="10" t="n"/>
      <c r="D32" s="10" t="n"/>
      <c r="E32" s="10" t="n"/>
      <c r="F32" s="10" t="n"/>
      <c r="G32" s="10" t="n"/>
    </row>
    <row r="33">
      <c r="A33" s="11" t="inlineStr">
        <is>
          <t>Programs &amp; community: founder 2 (Haley) salary + load</t>
        </is>
      </c>
      <c r="B33" s="26">
        <f>Inputs!$C$159*(1+Inputs!$C$164)</f>
        <v>57120.00000000001</v>
      </c>
      <c r="C33" s="26">
        <f>Inputs!$D$159*(1+Inputs!$D$164)</f>
        <v>89700.0</v>
      </c>
      <c r="D33" s="26">
        <f>Inputs!$E$159*(1+Inputs!$E$164)</f>
        <v>123900.0</v>
      </c>
      <c r="E33" s="26">
        <f>Inputs!$F$159*(1+Inputs!$F$164)</f>
        <v>150000.0</v>
      </c>
      <c r="F33" s="26">
        <f>Inputs!$G$159*(1+Inputs!$G$164)</f>
        <v>168000.0</v>
      </c>
      <c r="G33" s="7" t="n"/>
    </row>
    <row r="34">
      <c r="A34" s="11" t="inlineStr">
        <is>
          <t>Programs &amp; community: staff salaries + load</t>
        </is>
      </c>
      <c r="B34" s="26">
        <f>Inputs!$C$174*Inputs!$B$23*(1+Inputs!$C$164)</f>
        <v>0.0</v>
      </c>
      <c r="C34" s="26">
        <f>Inputs!$D$174*Inputs!$B$23*(1+Inputs!$D$164)</f>
        <v>37375.0</v>
      </c>
      <c r="D34" s="26">
        <f>Inputs!$E$174*Inputs!$B$23*(1+Inputs!$E$164)</f>
        <v>76700.0</v>
      </c>
      <c r="E34" s="26">
        <f>Inputs!$F$174*Inputs!$B$23*(1+Inputs!$F$164)</f>
        <v>78000.0</v>
      </c>
      <c r="F34" s="26">
        <f>Inputs!$G$174*Inputs!$B$23*(1+Inputs!$G$164)</f>
        <v>78000.0</v>
      </c>
      <c r="G34" s="7" t="n"/>
    </row>
    <row r="35">
      <c r="A35" s="11" t="inlineStr">
        <is>
          <t>Programs &amp; community: coordinator hours (Garden)</t>
        </is>
      </c>
      <c r="B35" s="26">
        <f>Garden!B42</f>
        <v>15600</v>
      </c>
      <c r="C35" s="26">
        <f>Garden!C42</f>
        <v>23400</v>
      </c>
      <c r="D35" s="26">
        <f>Garden!D42</f>
        <v>16120</v>
      </c>
      <c r="E35" s="26">
        <f>Garden!E42</f>
        <v>0</v>
      </c>
      <c r="F35" s="26">
        <f>Garden!F42</f>
        <v>0</v>
      </c>
      <c r="G35" s="7" t="n"/>
    </row>
    <row r="36">
      <c r="A36" s="11" t="inlineStr">
        <is>
          <t>Programs &amp; community: gathering stipends, venues</t>
        </is>
      </c>
      <c r="B36" s="26">
        <f>Inputs!$C$200</f>
        <v>8000</v>
      </c>
      <c r="C36" s="26">
        <f>Inputs!$D$200</f>
        <v>15000</v>
      </c>
      <c r="D36" s="26">
        <f>Inputs!$E$200</f>
        <v>25000</v>
      </c>
      <c r="E36" s="26">
        <f>Inputs!$F$200</f>
        <v>40000</v>
      </c>
      <c r="F36" s="26">
        <f>Inputs!$G$200</f>
        <v>60000</v>
      </c>
      <c r="G36" s="7" t="n"/>
    </row>
    <row r="37">
      <c r="A37" s="11" t="inlineStr">
        <is>
          <t>Programs &amp; community: fellowship program administration</t>
        </is>
      </c>
      <c r="B37" s="26">
        <f>Inputs!$C$205</f>
        <v>2000</v>
      </c>
      <c r="C37" s="26">
        <f>Inputs!$D$205</f>
        <v>5000</v>
      </c>
      <c r="D37" s="26">
        <f>Inputs!$E$205</f>
        <v>10000</v>
      </c>
      <c r="E37" s="26">
        <f>Inputs!$F$205</f>
        <v>15000</v>
      </c>
      <c r="F37" s="26">
        <f>Inputs!$G$205</f>
        <v>20000</v>
      </c>
      <c r="G37" s="7" t="n"/>
    </row>
    <row r="38">
      <c r="A38" s="15" t="inlineStr">
        <is>
          <t>PROGRAMS &amp; COMMUNITY</t>
        </is>
      </c>
      <c r="B38" s="28">
        <f>SUM(B33:B37)</f>
        <v>82720.0</v>
      </c>
      <c r="C38" s="28">
        <f>SUM(C33:C37)</f>
        <v>170475.0</v>
      </c>
      <c r="D38" s="28">
        <f>SUM(D33:D37)</f>
        <v>251720.0</v>
      </c>
      <c r="E38" s="28">
        <f>SUM(E33:E37)</f>
        <v>283000.0</v>
      </c>
      <c r="F38" s="28">
        <f>SUM(F33:F37)</f>
        <v>326000.0</v>
      </c>
      <c r="G38" s="7" t="n"/>
    </row>
    <row r="39">
      <c r="A39" s="11" t="inlineStr">
        <is>
          <t>Marketing: founder 1 (Rick) sales and partnerships share, salary + load</t>
        </is>
      </c>
      <c r="B39" s="26">
        <f>Inputs!$C$154*(1+Inputs!$C$164)*Inputs!$C$169</f>
        <v>28560.000000000004</v>
      </c>
      <c r="C39" s="26">
        <f>Inputs!$D$154*(1+Inputs!$D$164)*Inputs!$D$169</f>
        <v>44850.0</v>
      </c>
      <c r="D39" s="26">
        <f>Inputs!$E$154*(1+Inputs!$E$164)*Inputs!$E$169</f>
        <v>61950.0</v>
      </c>
      <c r="E39" s="26">
        <f>Inputs!$F$154*(1+Inputs!$F$164)*Inputs!$F$169</f>
        <v>75000.0</v>
      </c>
      <c r="F39" s="26">
        <f>Inputs!$G$154*(1+Inputs!$G$164)*Inputs!$G$169</f>
        <v>84000.0</v>
      </c>
      <c r="G39" s="7" t="n"/>
    </row>
    <row r="40">
      <c r="A40" s="11" t="inlineStr">
        <is>
          <t>Marketing: staff salaries + load</t>
        </is>
      </c>
      <c r="B40" s="26">
        <f>Inputs!$C$184*Inputs!$B$25*(1+Inputs!$C$164)</f>
        <v>21000.000000000004</v>
      </c>
      <c r="C40" s="26">
        <f>Inputs!$D$184*Inputs!$B$25*(1+Inputs!$D$164)</f>
        <v>43125.0</v>
      </c>
      <c r="D40" s="26">
        <f>Inputs!$E$184*Inputs!$B$25*(1+Inputs!$E$164)</f>
        <v>88500.0</v>
      </c>
      <c r="E40" s="26">
        <f>Inputs!$F$184*Inputs!$B$25*(1+Inputs!$F$164)</f>
        <v>90000.0</v>
      </c>
      <c r="F40" s="26">
        <f>Inputs!$G$184*Inputs!$B$25*(1+Inputs!$G$164)</f>
        <v>90000.0</v>
      </c>
      <c r="G40" s="7" t="n"/>
    </row>
    <row r="41">
      <c r="A41" s="11" t="inlineStr">
        <is>
          <t>Marketing: launch and annual events</t>
        </is>
      </c>
      <c r="B41" s="26">
        <f>Inputs!$C$216</f>
        <v>12000</v>
      </c>
      <c r="C41" s="26">
        <f>Inputs!$D$216</f>
        <v>18000</v>
      </c>
      <c r="D41" s="26">
        <f>Inputs!$E$216</f>
        <v>25000</v>
      </c>
      <c r="E41" s="26">
        <f>Inputs!$F$216</f>
        <v>35000</v>
      </c>
      <c r="F41" s="26">
        <f>Inputs!$G$216</f>
        <v>45000</v>
      </c>
      <c r="G41" s="7" t="n"/>
    </row>
    <row r="42">
      <c r="A42" s="11" t="inlineStr">
        <is>
          <t>Marketing: film and story production</t>
        </is>
      </c>
      <c r="B42" s="26">
        <f>Inputs!$C$221</f>
        <v>10000</v>
      </c>
      <c r="C42" s="26">
        <f>Inputs!$D$221</f>
        <v>12000</v>
      </c>
      <c r="D42" s="26">
        <f>Inputs!$E$221</f>
        <v>15000</v>
      </c>
      <c r="E42" s="26">
        <f>Inputs!$F$221</f>
        <v>20000</v>
      </c>
      <c r="F42" s="26">
        <f>Inputs!$G$221</f>
        <v>20000</v>
      </c>
      <c r="G42" s="7" t="n"/>
    </row>
    <row r="43">
      <c r="A43" s="11" t="inlineStr">
        <is>
          <t>Marketing: content, design, outreach</t>
        </is>
      </c>
      <c r="B43" s="26">
        <f>Inputs!$C$226</f>
        <v>5000</v>
      </c>
      <c r="C43" s="26">
        <f>Inputs!$D$226</f>
        <v>15000</v>
      </c>
      <c r="D43" s="26">
        <f>Inputs!$E$226</f>
        <v>35000</v>
      </c>
      <c r="E43" s="26">
        <f>Inputs!$F$226</f>
        <v>60000</v>
      </c>
      <c r="F43" s="26">
        <f>Inputs!$G$226</f>
        <v>90000</v>
      </c>
      <c r="G43" s="7" t="n"/>
    </row>
    <row r="44">
      <c r="A44" s="11" t="inlineStr">
        <is>
          <t>Marketing: metro launches and support</t>
        </is>
      </c>
      <c r="B44" s="26">
        <f>Exchange!B16*Exchange!B17+Exchange!B20*Exchange!B18</f>
        <v>0</v>
      </c>
      <c r="C44" s="26">
        <f>Exchange!C16*Exchange!C17+Exchange!C20*Exchange!C18</f>
        <v>36000</v>
      </c>
      <c r="D44" s="26">
        <f>Exchange!D16*Exchange!D17+Exchange!D20*Exchange!D18</f>
        <v>84000</v>
      </c>
      <c r="E44" s="26">
        <f>Exchange!E16*Exchange!E17+Exchange!E20*Exchange!E18</f>
        <v>144000</v>
      </c>
      <c r="F44" s="26">
        <f>Exchange!F16*Exchange!F17+Exchange!F20*Exchange!F18</f>
        <v>216000</v>
      </c>
      <c r="G44" s="7" t="n"/>
    </row>
    <row r="45">
      <c r="A45" s="11" t="inlineStr">
        <is>
          <t>Marketing: partnerships travel</t>
        </is>
      </c>
      <c r="B45" s="26">
        <f>Inputs!$C$231</f>
        <v>2000</v>
      </c>
      <c r="C45" s="26">
        <f>Inputs!$D$231</f>
        <v>6000</v>
      </c>
      <c r="D45" s="26">
        <f>Inputs!$E$231</f>
        <v>12000</v>
      </c>
      <c r="E45" s="26">
        <f>Inputs!$F$231</f>
        <v>20000</v>
      </c>
      <c r="F45" s="26">
        <f>Inputs!$G$231</f>
        <v>30000</v>
      </c>
      <c r="G45" s="7" t="n"/>
    </row>
    <row r="46">
      <c r="A46" s="15" t="inlineStr">
        <is>
          <t>MARKETING &amp; LAUNCH</t>
        </is>
      </c>
      <c r="B46" s="28">
        <f>SUM(B39:B45)</f>
        <v>78560.0</v>
      </c>
      <c r="C46" s="28">
        <f>SUM(C39:C45)</f>
        <v>174975.0</v>
      </c>
      <c r="D46" s="28">
        <f>SUM(D39:D45)</f>
        <v>321450.0</v>
      </c>
      <c r="E46" s="28">
        <f>SUM(E39:E45)</f>
        <v>444000.0</v>
      </c>
      <c r="F46" s="28">
        <f>SUM(F39:F45)</f>
        <v>575000.0</v>
      </c>
      <c r="G46" s="7" t="n"/>
    </row>
    <row r="47">
      <c r="A47" s="11" t="inlineStr">
        <is>
          <t>Support: staff salaries + load</t>
        </is>
      </c>
      <c r="B47" s="26">
        <f>Inputs!$C$179*Inputs!$B$24*(1+Inputs!$C$164)</f>
        <v>0.0</v>
      </c>
      <c r="C47" s="26">
        <f>Inputs!$D$179*Inputs!$B$24*(1+Inputs!$D$164)</f>
        <v>0.0</v>
      </c>
      <c r="D47" s="26">
        <f>Inputs!$E$179*Inputs!$B$24*(1+Inputs!$E$164)</f>
        <v>0.0</v>
      </c>
      <c r="E47" s="26">
        <f>Inputs!$F$179*Inputs!$B$24*(1+Inputs!$F$164)</f>
        <v>0.0</v>
      </c>
      <c r="F47" s="26">
        <f>Inputs!$G$179*Inputs!$B$24*(1+Inputs!$G$164)</f>
        <v>0.0</v>
      </c>
      <c r="G47" s="7" t="n"/>
    </row>
    <row r="48">
      <c r="A48" s="11" t="inlineStr">
        <is>
          <t>Support: tools and part-time coverage</t>
        </is>
      </c>
      <c r="B48" s="26">
        <f>Inputs!$C$237</f>
        <v>2000</v>
      </c>
      <c r="C48" s="26">
        <f>Inputs!$D$237</f>
        <v>6000</v>
      </c>
      <c r="D48" s="26">
        <f>Inputs!$E$237</f>
        <v>8000</v>
      </c>
      <c r="E48" s="26">
        <f>Inputs!$F$237</f>
        <v>10000</v>
      </c>
      <c r="F48" s="26">
        <f>Inputs!$G$237</f>
        <v>12000</v>
      </c>
      <c r="G48" s="7" t="n"/>
    </row>
    <row r="49">
      <c r="A49" s="15" t="inlineStr">
        <is>
          <t>SUPPORT</t>
        </is>
      </c>
      <c r="B49" s="28">
        <f>SUM(B47:B48)</f>
        <v>2000.0</v>
      </c>
      <c r="C49" s="28">
        <f>SUM(C47:C48)</f>
        <v>6000.0</v>
      </c>
      <c r="D49" s="28">
        <f>SUM(D47:D48)</f>
        <v>8000.0</v>
      </c>
      <c r="E49" s="28">
        <f>SUM(E47:E48)</f>
        <v>10000.0</v>
      </c>
      <c r="F49" s="28">
        <f>SUM(F47:F48)</f>
        <v>12000.0</v>
      </c>
      <c r="G49" s="7" t="n"/>
    </row>
    <row r="50">
      <c r="A50" s="11" t="inlineStr">
        <is>
          <t>Engineering: founder 1 (Rick) product share, salary + load</t>
        </is>
      </c>
      <c r="B50" s="26">
        <f>Inputs!$C$154*(1+Inputs!$C$164)*(1-Inputs!$C$169)</f>
        <v>28560.000000000004</v>
      </c>
      <c r="C50" s="26">
        <f>Inputs!$D$154*(1+Inputs!$D$164)*(1-Inputs!$D$169)</f>
        <v>44850.0</v>
      </c>
      <c r="D50" s="26">
        <f>Inputs!$E$154*(1+Inputs!$E$164)*(1-Inputs!$E$169)</f>
        <v>61950.0</v>
      </c>
      <c r="E50" s="26">
        <f>Inputs!$F$154*(1+Inputs!$F$164)*(1-Inputs!$F$169)</f>
        <v>75000.0</v>
      </c>
      <c r="F50" s="26">
        <f>Inputs!$G$154*(1+Inputs!$G$164)*(1-Inputs!$G$169)</f>
        <v>84000.0</v>
      </c>
      <c r="G50" s="7" t="n"/>
    </row>
    <row r="51">
      <c r="A51" s="11" t="inlineStr">
        <is>
          <t>Engineering: staff salaries + load</t>
        </is>
      </c>
      <c r="B51" s="26">
        <f>Inputs!$C$189*Inputs!$B$26*(1+Inputs!$C$164)</f>
        <v>0.0</v>
      </c>
      <c r="C51" s="26">
        <f>Inputs!$D$189*Inputs!$B$26*(1+Inputs!$D$164)</f>
        <v>0.0</v>
      </c>
      <c r="D51" s="26">
        <f>Inputs!$E$189*Inputs!$B$26*(1+Inputs!$E$164)</f>
        <v>0.0</v>
      </c>
      <c r="E51" s="26">
        <f>Inputs!$F$189*Inputs!$B$26*(1+Inputs!$F$164)</f>
        <v>0.0</v>
      </c>
      <c r="F51" s="26">
        <f>Inputs!$G$189*Inputs!$B$26*(1+Inputs!$G$164)</f>
        <v>0.0</v>
      </c>
      <c r="G51" s="7" t="n"/>
    </row>
    <row r="52">
      <c r="A52" s="11" t="inlineStr">
        <is>
          <t>Engineering: hosting, tools, video, email, SMS</t>
        </is>
      </c>
      <c r="B52" s="26">
        <f>Inputs!$C$243</f>
        <v>1500</v>
      </c>
      <c r="C52" s="26">
        <f>Inputs!$D$243</f>
        <v>4000</v>
      </c>
      <c r="D52" s="26">
        <f>Inputs!$E$243</f>
        <v>8000</v>
      </c>
      <c r="E52" s="26">
        <f>Inputs!$F$243</f>
        <v>14000</v>
      </c>
      <c r="F52" s="26">
        <f>Inputs!$G$243</f>
        <v>20000</v>
      </c>
      <c r="G52" s="7" t="n"/>
    </row>
    <row r="53">
      <c r="A53" s="11" t="inlineStr">
        <is>
          <t>Engineering: contractors</t>
        </is>
      </c>
      <c r="B53" s="26">
        <f>Inputs!$C$248</f>
        <v>8000</v>
      </c>
      <c r="C53" s="26">
        <f>Inputs!$D$248</f>
        <v>15000</v>
      </c>
      <c r="D53" s="26">
        <f>Inputs!$E$248</f>
        <v>30000</v>
      </c>
      <c r="E53" s="26">
        <f>Inputs!$F$248</f>
        <v>45000</v>
      </c>
      <c r="F53" s="26">
        <f>Inputs!$G$248</f>
        <v>60000</v>
      </c>
      <c r="G53" s="7" t="n"/>
    </row>
    <row r="54">
      <c r="A54" s="11" t="inlineStr">
        <is>
          <t>Engineering: payments compliance and security</t>
        </is>
      </c>
      <c r="B54" s="26">
        <f>Inputs!$C$253</f>
        <v>3000</v>
      </c>
      <c r="C54" s="26">
        <f>Inputs!$D$253</f>
        <v>5000</v>
      </c>
      <c r="D54" s="26">
        <f>Inputs!$E$253</f>
        <v>8000</v>
      </c>
      <c r="E54" s="26">
        <f>Inputs!$F$253</f>
        <v>10000</v>
      </c>
      <c r="F54" s="26">
        <f>Inputs!$G$253</f>
        <v>12000</v>
      </c>
      <c r="G54" s="7" t="n"/>
    </row>
    <row r="55">
      <c r="A55" s="15" t="inlineStr">
        <is>
          <t>ENGINEERING &amp; PLATFORM</t>
        </is>
      </c>
      <c r="B55" s="28">
        <f>SUM(B50:B54)</f>
        <v>41060.0</v>
      </c>
      <c r="C55" s="28">
        <f>SUM(C50:C54)</f>
        <v>68850.0</v>
      </c>
      <c r="D55" s="28">
        <f>SUM(D50:D54)</f>
        <v>107950.0</v>
      </c>
      <c r="E55" s="28">
        <f>SUM(E50:E54)</f>
        <v>144000.0</v>
      </c>
      <c r="F55" s="28">
        <f>SUM(F50:F54)</f>
        <v>176000.0</v>
      </c>
      <c r="G55" s="7" t="n"/>
    </row>
    <row r="56">
      <c r="A56" s="11" t="inlineStr">
        <is>
          <t>Operations: staff salaries + load</t>
        </is>
      </c>
      <c r="B56" s="26">
        <f>Inputs!$C$194*Inputs!$B$27*(1+Inputs!$C$164)</f>
        <v>0.0</v>
      </c>
      <c r="C56" s="26">
        <f>Inputs!$D$194*Inputs!$B$27*(1+Inputs!$D$164)</f>
        <v>0.0</v>
      </c>
      <c r="D56" s="26">
        <f>Inputs!$E$194*Inputs!$B$27*(1+Inputs!$E$164)</f>
        <v>0.0</v>
      </c>
      <c r="E56" s="26">
        <f>Inputs!$F$194*Inputs!$B$27*(1+Inputs!$F$164)</f>
        <v>0.0</v>
      </c>
      <c r="F56" s="26">
        <f>Inputs!$G$194*Inputs!$B$27*(1+Inputs!$G$164)</f>
        <v>0.0</v>
      </c>
      <c r="G56" s="7" t="n"/>
    </row>
    <row r="57">
      <c r="A57" s="11" t="inlineStr">
        <is>
          <t>Operations: legal</t>
        </is>
      </c>
      <c r="B57" s="26">
        <f>Inputs!$C$259</f>
        <v>12000</v>
      </c>
      <c r="C57" s="26">
        <f>Inputs!$D$259</f>
        <v>8000</v>
      </c>
      <c r="D57" s="26">
        <f>Inputs!$E$259</f>
        <v>10000</v>
      </c>
      <c r="E57" s="26">
        <f>Inputs!$F$259</f>
        <v>15000</v>
      </c>
      <c r="F57" s="26">
        <f>Inputs!$G$259</f>
        <v>20000</v>
      </c>
      <c r="G57" s="7" t="n"/>
    </row>
    <row r="58">
      <c r="A58" s="11" t="inlineStr">
        <is>
          <t>Operations: accounting, tax, bookkeeping</t>
        </is>
      </c>
      <c r="B58" s="26">
        <f>Inputs!$C$264</f>
        <v>4000</v>
      </c>
      <c r="C58" s="26">
        <f>Inputs!$D$264</f>
        <v>8000</v>
      </c>
      <c r="D58" s="26">
        <f>Inputs!$E$264</f>
        <v>14000</v>
      </c>
      <c r="E58" s="26">
        <f>Inputs!$F$264</f>
        <v>18000</v>
      </c>
      <c r="F58" s="26">
        <f>Inputs!$G$264</f>
        <v>24000</v>
      </c>
      <c r="G58" s="7" t="n"/>
    </row>
    <row r="59">
      <c r="A59" s="11" t="inlineStr">
        <is>
          <t>Operations: insurance</t>
        </is>
      </c>
      <c r="B59" s="26">
        <f>Inputs!$C$269</f>
        <v>2500</v>
      </c>
      <c r="C59" s="26">
        <f>Inputs!$D$269</f>
        <v>4000</v>
      </c>
      <c r="D59" s="26">
        <f>Inputs!$E$269</f>
        <v>8000</v>
      </c>
      <c r="E59" s="26">
        <f>Inputs!$F$269</f>
        <v>12000</v>
      </c>
      <c r="F59" s="26">
        <f>Inputs!$G$269</f>
        <v>15000</v>
      </c>
      <c r="G59" s="7" t="n"/>
    </row>
    <row r="60">
      <c r="A60" s="11" t="inlineStr">
        <is>
          <t>Operations: admin tools, banking, coworking</t>
        </is>
      </c>
      <c r="B60" s="26">
        <f>Inputs!$C$274</f>
        <v>3000</v>
      </c>
      <c r="C60" s="26">
        <f>Inputs!$D$274</f>
        <v>6000</v>
      </c>
      <c r="D60" s="26">
        <f>Inputs!$E$274</f>
        <v>10000</v>
      </c>
      <c r="E60" s="26">
        <f>Inputs!$F$274</f>
        <v>15000</v>
      </c>
      <c r="F60" s="26">
        <f>Inputs!$G$274</f>
        <v>20000</v>
      </c>
      <c r="G60" s="7" t="n"/>
    </row>
    <row r="61">
      <c r="A61" s="15" t="inlineStr">
        <is>
          <t>OPERATIONS &amp; G&amp;A</t>
        </is>
      </c>
      <c r="B61" s="28">
        <f>SUM(B56:B60)</f>
        <v>21500.0</v>
      </c>
      <c r="C61" s="28">
        <f>SUM(C56:C60)</f>
        <v>26000.0</v>
      </c>
      <c r="D61" s="28">
        <f>SUM(D56:D60)</f>
        <v>42000.0</v>
      </c>
      <c r="E61" s="28">
        <f>SUM(E56:E60)</f>
        <v>60000.0</v>
      </c>
      <c r="F61" s="28">
        <f>SUM(F56:F60)</f>
        <v>79000.0</v>
      </c>
      <c r="G61" s="7" t="n"/>
    </row>
    <row r="62">
      <c r="A62" s="11" t="inlineStr">
        <is>
          <t>Payments: card processing absorbed + payout costs</t>
        </is>
      </c>
      <c r="B62" s="26">
        <f>Garden!B43+Garden!B44+Exchange!B54+Exchange!B55</f>
        <v>2325.7135380000004</v>
      </c>
      <c r="C62" s="26">
        <f>Garden!C43+Garden!C44+Exchange!C54+Exchange!C55</f>
        <v>12726.66864</v>
      </c>
      <c r="D62" s="26">
        <f>Garden!D43+Garden!D44+Exchange!D54+Exchange!D55</f>
        <v>48205.799232</v>
      </c>
      <c r="E62" s="26">
        <f>Garden!E43+Garden!E44+Exchange!E54+Exchange!E55</f>
        <v>125747.647488</v>
      </c>
      <c r="F62" s="26">
        <f>Garden!F43+Garden!F44+Exchange!F54+Exchange!F55</f>
        <v>270856.39814400004</v>
      </c>
      <c r="G62" s="7" t="n"/>
    </row>
    <row r="63">
      <c r="A63" s="15" t="inlineStr">
        <is>
          <t>PAYMENTS (cost of money moved)</t>
        </is>
      </c>
      <c r="B63" s="28">
        <f>B62</f>
        <v>2325.7135380000004</v>
      </c>
      <c r="C63" s="28">
        <f>C62</f>
        <v>12726.66864</v>
      </c>
      <c r="D63" s="28">
        <f>D62</f>
        <v>48205.799232</v>
      </c>
      <c r="E63" s="28">
        <f>E62</f>
        <v>125747.647488</v>
      </c>
      <c r="F63" s="28">
        <f>F62</f>
        <v>270856.39814400004</v>
      </c>
      <c r="G63" s="7" t="n"/>
    </row>
    <row r="64">
      <c r="A64" s="7" t="n"/>
      <c r="B64" s="7" t="n"/>
      <c r="C64" s="7" t="n"/>
      <c r="D64" s="7" t="n"/>
      <c r="E64" s="7" t="n"/>
      <c r="F64" s="7" t="n"/>
      <c r="G64" s="7" t="n"/>
    </row>
    <row r="65">
      <c r="A65" s="15" t="inlineStr">
        <is>
          <t>TOTAL COSTS</t>
        </is>
      </c>
      <c r="B65" s="28">
        <f>B38+B46+B49+B55+B61+B63</f>
        <v>228165.713538</v>
      </c>
      <c r="C65" s="28">
        <f>C38+C46+C49+C55+C61+C63</f>
        <v>459026.66864</v>
      </c>
      <c r="D65" s="28">
        <f>D38+D46+D49+D55+D61+D63</f>
        <v>779325.799232</v>
      </c>
      <c r="E65" s="28">
        <f>E38+E46+E49+E55+E61+E63</f>
        <v>1066747.647488</v>
      </c>
      <c r="F65" s="28">
        <f>F38+F46+F49+F55+F61+F63</f>
        <v>1438856.398144</v>
      </c>
      <c r="G65" s="7" t="n"/>
    </row>
    <row r="66">
      <c r="A66" s="11" t="inlineStr">
        <is>
          <t xml:space="preserve">  of which people (founders + staff, loaded)</t>
        </is>
      </c>
      <c r="B66" s="27">
        <f>B33+B34+B39+B40+B47+B50+B51+B56</f>
        <v>135240.00000000003</v>
      </c>
      <c r="C66" s="27">
        <f>C33+C34+C39+C40+C47+C50+C51+C56</f>
        <v>259900</v>
      </c>
      <c r="D66" s="27">
        <f>D33+D34+D39+D40+D47+D50+D51+D56</f>
        <v>413000</v>
      </c>
      <c r="E66" s="27">
        <f>E33+E34+E39+E40+E47+E50+E51+E56</f>
        <v>468000</v>
      </c>
      <c r="F66" s="27">
        <f>F33+F34+F39+F40+F47+F50+F51+F56</f>
        <v>504000</v>
      </c>
      <c r="G66" s="7" t="n"/>
    </row>
    <row r="67">
      <c r="A67" s="11" t="inlineStr">
        <is>
          <t xml:space="preserve">  of which founders (both, loaded)</t>
        </is>
      </c>
      <c r="B67" s="27">
        <f>B33+B50+B39</f>
        <v>114240.00000000001</v>
      </c>
      <c r="C67" s="27">
        <f>C33+C50+C39</f>
        <v>179400</v>
      </c>
      <c r="D67" s="27">
        <f>D33+D50+D39</f>
        <v>247800</v>
      </c>
      <c r="E67" s="27">
        <f>E33+E50+E39</f>
        <v>300000</v>
      </c>
      <c r="F67" s="27">
        <f>F33+F50+F39</f>
        <v>336000</v>
      </c>
      <c r="G67" s="7" t="n"/>
    </row>
    <row r="68">
      <c r="A68" s="11" t="inlineStr">
        <is>
          <t xml:space="preserve">  people as a share of costs</t>
        </is>
      </c>
      <c r="B68" s="32">
        <f>IF(B65=0,0,B66/B65)</f>
        <v>0.5927270925281961</v>
      </c>
      <c r="C68" s="32">
        <f>IF(C65=0,0,C66/C65)</f>
        <v>0.566198039800235</v>
      </c>
      <c r="D68" s="32">
        <f>IF(D65=0,0,D66/D65)</f>
        <v>0.529945242935622</v>
      </c>
      <c r="E68" s="32">
        <f>IF(E65=0,0,E66/E65)</f>
        <v>0.4387166928392636</v>
      </c>
      <c r="F68" s="32">
        <f>IF(F65=0,0,F66/F65)</f>
        <v>0.35027817970585273</v>
      </c>
      <c r="G68" s="7" t="n"/>
    </row>
    <row r="69">
      <c r="A69" s="7" t="n"/>
      <c r="B69" s="7" t="n"/>
      <c r="C69" s="7" t="n"/>
      <c r="D69" s="7" t="n"/>
      <c r="E69" s="7" t="n"/>
      <c r="F69" s="7" t="n"/>
      <c r="G69" s="7" t="n"/>
    </row>
    <row r="70">
      <c r="A70" s="9" t="inlineStr">
        <is>
          <t>Result</t>
        </is>
      </c>
      <c r="B70" s="10" t="n"/>
      <c r="C70" s="10" t="n"/>
      <c r="D70" s="10" t="n"/>
      <c r="E70" s="10" t="n"/>
      <c r="F70" s="10" t="n"/>
      <c r="G70" s="10" t="n"/>
    </row>
    <row r="71">
      <c r="A71" s="15" t="inlineStr">
        <is>
          <t>EBITDA</t>
        </is>
      </c>
      <c r="B71" s="28">
        <f>B14-B65</f>
        <v>-191993.86813800002</v>
      </c>
      <c r="C71" s="28">
        <f>C14-C65</f>
        <v>-312691.20944</v>
      </c>
      <c r="D71" s="28">
        <f>D14-D65</f>
        <v>-317853.274432</v>
      </c>
      <c r="E71" s="28">
        <f>E14-E65</f>
        <v>-3340.8154880001675</v>
      </c>
      <c r="F71" s="28">
        <f>F14-F65</f>
        <v>671797.7138560002</v>
      </c>
      <c r="G71" s="7" t="n"/>
    </row>
    <row r="72">
      <c r="A72" s="15" t="inlineStr">
        <is>
          <t>Cumulative cash need (before any raise)</t>
        </is>
      </c>
      <c r="B72" s="33">
        <f>MIN(0,B71)</f>
        <v>-191993.86813800002</v>
      </c>
      <c r="C72" s="33">
        <f>B72+C71</f>
        <v>-504685.077578</v>
      </c>
      <c r="D72" s="33">
        <f>C72+D71</f>
        <v>-822538.35201</v>
      </c>
      <c r="E72" s="33">
        <f>D72+E71</f>
        <v>-825879.1674980002</v>
      </c>
      <c r="F72" s="33">
        <f>E72+F71</f>
        <v>-154081.45364199998</v>
      </c>
      <c r="G72" s="8" t="inlineStr">
        <is>
          <t>running total of EBITDA; the low point is the raise</t>
        </is>
      </c>
    </row>
    <row r="73">
      <c r="A73" s="15" t="inlineStr">
        <is>
          <t>Peak cash need (the raise, before buffer)</t>
        </is>
      </c>
      <c r="B73" s="28">
        <f>-MIN(0,MIN(B72:F72))</f>
        <v>825879.1674980002</v>
      </c>
      <c r="C73" s="28" t="inlineStr"/>
      <c r="D73" s="28" t="inlineStr"/>
      <c r="E73" s="28" t="inlineStr"/>
      <c r="F73" s="28" t="inlineStr"/>
      <c r="G73" s="8" t="inlineStr">
        <is>
          <t>add ~25% buffer for the ask</t>
        </is>
      </c>
    </row>
    <row r="74">
      <c r="A74" s="11" t="inlineStr">
        <is>
          <t>Headcount incl. both founders (FTE)</t>
        </is>
      </c>
      <c r="B74" s="34">
        <f>2+Inputs!$C$174+Inputs!$C$179+Inputs!$C$184+Inputs!$C$189+Inputs!$C$194</f>
        <v>2.25</v>
      </c>
      <c r="C74" s="34">
        <f>2+Inputs!$D$174+Inputs!$D$179+Inputs!$D$184+Inputs!$D$189+Inputs!$D$194</f>
        <v>3</v>
      </c>
      <c r="D74" s="34">
        <f>2+Inputs!$E$174+Inputs!$E$179+Inputs!$E$184+Inputs!$E$189+Inputs!$E$194</f>
        <v>4</v>
      </c>
      <c r="E74" s="34">
        <f>2+Inputs!$F$174+Inputs!$F$179+Inputs!$F$184+Inputs!$F$189+Inputs!$F$194</f>
        <v>4</v>
      </c>
      <c r="F74" s="34">
        <f>2+Inputs!$G$174+Inputs!$G$179+Inputs!$G$184+Inputs!$G$189+Inputs!$G$194</f>
        <v>4</v>
      </c>
      <c r="G74" s="7" t="n"/>
    </row>
    <row r="75">
      <c r="A75" s="11" t="inlineStr">
        <is>
          <t>Revenue per FTE</t>
        </is>
      </c>
      <c r="B75" s="27">
        <f>B14/B74</f>
        <v>16076.375733333336</v>
      </c>
      <c r="C75" s="27">
        <f>C14/C74</f>
        <v>48778.486399999994</v>
      </c>
      <c r="D75" s="27">
        <f>D14/D74</f>
        <v>115368.1312</v>
      </c>
      <c r="E75" s="27">
        <f>E14/E74</f>
        <v>265851.708</v>
      </c>
      <c r="F75" s="27">
        <f>F14/F74</f>
        <v>527663.528</v>
      </c>
      <c r="G75" s="7" t="n"/>
    </row>
    <row r="76">
      <c r="A76" s="11" t="inlineStr">
        <is>
          <t>Founder pay gap vs market, both founders</t>
        </is>
      </c>
      <c r="B76" s="27">
        <f>2*Inputs!$B$28-Inputs!$C$154-Inputs!$C$159</f>
        <v>248000</v>
      </c>
      <c r="C76" s="27">
        <f>2*Inputs!$B$28-Inputs!$D$154-Inputs!$D$159</f>
        <v>194000</v>
      </c>
      <c r="D76" s="27">
        <f>2*Inputs!$B$28-Inputs!$E$154-Inputs!$E$159</f>
        <v>140000</v>
      </c>
      <c r="E76" s="27">
        <f>2*Inputs!$B$28-Inputs!$F$154-Inputs!$F$159</f>
        <v>100000</v>
      </c>
      <c r="F76" s="27">
        <f>2*Inputs!$B$28-Inputs!$G$154-Inputs!$G$159</f>
        <v>70000</v>
      </c>
      <c r="G76" s="8" t="inlineStr">
        <is>
          <t>the subsidy nobody invoices (Business Model §05)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70" customWidth="1" min="3" max="3"/>
  </cols>
  <sheetData>
    <row r="1">
      <c r="A1" s="6" t="inlineStr">
        <is>
          <t>Market — who is out there, and what share the model assumes</t>
        </is>
      </c>
      <c r="B1" s="7" t="n"/>
      <c r="C1" s="7" t="n"/>
    </row>
    <row r="2">
      <c r="A2" s="8" t="inlineStr">
        <is>
          <t>Blue cells are to be confirmed against the market-sizing research (docs/funding/market-sizing.md). Sources in column C.</t>
        </is>
      </c>
      <c r="B2" s="7" t="n"/>
      <c r="C2" s="7" t="n"/>
    </row>
    <row r="3">
      <c r="A3" s="7" t="n"/>
      <c r="B3" s="7" t="n"/>
      <c r="C3" s="7" t="n"/>
    </row>
    <row r="4">
      <c r="A4" s="9" t="inlineStr">
        <is>
          <t>Counts</t>
        </is>
      </c>
      <c r="B4" s="10" t="n"/>
      <c r="C4" s="10" t="n"/>
    </row>
    <row r="5">
      <c r="A5" s="11" t="inlineStr">
        <is>
          <t>San Diego MSA: arts, design, entertainment, sports &amp; media occupations (BLS OEWS 27-0000), wage-and-salary jobs</t>
        </is>
      </c>
      <c r="B5" s="18" t="n">
        <v>19990</v>
      </c>
      <c r="C5" s="8" t="inlineStr">
        <is>
          <t>BLS OEWS May 2025, San Diego-Chula Vista-Carlsbad MSA (area 41740). Includes 2,890 coaches/scouts and 2,730 PR specialists. market-sizing.md §1</t>
        </is>
      </c>
    </row>
    <row r="6">
      <c r="A6" s="11" t="inlineStr">
        <is>
          <t>San Diego County: creatives outside payroll data (gap to the 26,000 central estimate)</t>
        </is>
      </c>
      <c r="B6" s="18" t="n">
        <v>6010</v>
      </c>
      <c r="C6" s="8" t="inlineStr">
        <is>
          <t>Central estimate 26,000 working creatives = NEA artist share × county labor force, scaled by SD location quotient (range 22,000–30,000). Lightcast counts 43,968 self-employed creative-economy JOBS (2022), incl. side income. ESTIMATE</t>
        </is>
      </c>
    </row>
    <row r="7">
      <c r="A7" s="11" t="inlineStr">
        <is>
          <t>San Diego County working creatives (best estimate)</t>
        </is>
      </c>
      <c r="B7" s="29">
        <f>B5+B6</f>
        <v>26000</v>
      </c>
      <c r="C7" s="8" t="inlineStr">
        <is>
          <t>sum; the 'any paid creative activity' pool is plausibly 45,000+</t>
        </is>
      </c>
    </row>
    <row r="8">
      <c r="A8" s="11" t="inlineStr">
        <is>
          <t>San Diego County congregations</t>
        </is>
      </c>
      <c r="B8" s="18" t="n">
        <v>1555</v>
      </c>
      <c r="C8" s="8" t="inlineStr">
        <is>
          <t>ARDA 2020 US Religion Census, San Diego County, 94 bodies reporting (undercounts nondenominational and Black church bodies)</t>
        </is>
      </c>
    </row>
    <row r="9">
      <c r="A9" s="11" t="inlineStr">
        <is>
          <t>Church-based creatives in the county (worship, media, design volunteers), estimate</t>
        </is>
      </c>
      <c r="B9" s="18" t="n">
        <v>4000</v>
      </c>
      <c r="C9" s="8" t="inlineStr">
        <is>
          <t>1,555 × 35–46% of congregations with a band or projection (NCS-IV 2018-19) × 4–8 volunteers; range 2,200–5,700. ASSUMPTION</t>
        </is>
      </c>
    </row>
    <row r="10">
      <c r="A10" s="11" t="inlineStr">
        <is>
          <t>California arts, design, entertainment &amp; media occupations (BLS OEWS 27-0000)</t>
        </is>
      </c>
      <c r="B10" s="18" t="n">
        <v>338230</v>
      </c>
      <c r="C10" s="8" t="inlineStr">
        <is>
          <t>BLS OEWS May 2025, California. Otis College counts ~734,000 creative-economy jobs (industry-based, Apr 2026)</t>
        </is>
      </c>
    </row>
    <row r="11">
      <c r="A11" s="11" t="inlineStr">
        <is>
          <t>US artists and cultural workers in the labor force (NEA)</t>
        </is>
      </c>
      <c r="B11" s="18" t="n">
        <v>3800000</v>
      </c>
      <c r="C11" s="8" t="inlineStr">
        <is>
          <t>NEA Artists in the Workforce, Sep 2025: 2.7M artists + 1.1M other cultural workers (CPS 2024)</t>
        </is>
      </c>
    </row>
    <row r="12">
      <c r="A12" s="11" t="inlineStr">
        <is>
          <t>US congregations</t>
        </is>
      </c>
      <c r="B12" s="18" t="n">
        <v>373000</v>
      </c>
      <c r="C12" s="8" t="inlineStr">
        <is>
          <t>Hartford Institute estimate (range 356,642 US Religion Census to 384,000 Brauer)</t>
        </is>
      </c>
    </row>
    <row r="13">
      <c r="A13" s="11" t="inlineStr">
        <is>
          <t>US church-based creatives, estimate</t>
        </is>
      </c>
      <c r="B13" s="18" t="n">
        <v>950000</v>
      </c>
      <c r="C13" s="8" t="inlineStr">
        <is>
          <t>373,000 × 35–46% × 4–8 volunteers = 0.53M–1.37M; midpoint. ASSUMPTION</t>
        </is>
      </c>
    </row>
    <row r="14">
      <c r="A14" s="11" t="inlineStr">
        <is>
          <t>Members of Christian creative networks already mapped (Hope*Writers, Word Weavers, Realm Makers, ACFW, Rabbit Room, Anselm, Makers &amp; Mystics…)</t>
        </is>
      </c>
      <c r="B14" s="18" t="n">
        <v>9200</v>
      </c>
      <c r="C14" s="8" t="inlineStr">
        <is>
          <t>Documented ~4,600 (Hope*Writers 3,200, Word Weavers 900, Realm Makers 500; all secondary) × 2 for networks that publish no counts; range 4,600–13,800. ESTIMATE</t>
        </is>
      </c>
    </row>
    <row r="15">
      <c r="A15" s="11" t="inlineStr">
        <is>
          <t>Overlap between the three SAM segments (haircut)</t>
        </is>
      </c>
      <c r="B15" s="13" t="n">
        <v>0.1</v>
      </c>
      <c r="C15" s="8" t="inlineStr">
        <is>
          <t>ASSUMPTION</t>
        </is>
      </c>
    </row>
    <row r="16">
      <c r="A16" s="11" t="inlineStr">
        <is>
          <t>Three-year members incl. schools, churches and other organizations: low (founder estimate)</t>
        </is>
      </c>
      <c r="B16" s="18" t="n">
        <v>5000</v>
      </c>
      <c r="C16" s="8" t="inlineStr">
        <is>
          <t>Founder estimate 2026-09-30, NOT sourced. Individuals alone benchmark to about 1,000 (market-sizing.md); the rest is seats bought by schools and organizations. Source a count of San Diego schools, universities and organizations to firm this up</t>
        </is>
      </c>
    </row>
    <row r="17">
      <c r="A17" s="11" t="inlineStr">
        <is>
          <t>Three-year members incl. schools, churches and other organizations: high (founder estimate)</t>
        </is>
      </c>
      <c r="B17" s="18" t="n">
        <v>10000</v>
      </c>
      <c r="C17" s="8" t="inlineStr">
        <is>
          <t>Founder estimate 2026-09-30, NOT sourced</t>
        </is>
      </c>
    </row>
    <row r="18">
      <c r="A18" s="11" t="inlineStr">
        <is>
          <t>Paying individuals in three years, minimum (founder)</t>
        </is>
      </c>
      <c r="B18" s="18" t="n">
        <v>3000</v>
      </c>
      <c r="C18" s="8" t="inlineStr">
        <is>
          <t>Founder 2026-09-30: individuals need to be at least 3,000 by year three. The individual-conversion benchmark supports about 1,000 for San Diego alone, so this needs partner communities outside San Diego (Base has 30 by year three)</t>
        </is>
      </c>
    </row>
    <row r="19">
      <c r="A19" s="7" t="n"/>
      <c r="B19" s="7" t="n"/>
      <c r="C19" s="7" t="n"/>
    </row>
    <row r="20">
      <c r="A20" s="9" t="inlineStr">
        <is>
          <t>The ladder</t>
        </is>
      </c>
      <c r="B20" s="10" t="n"/>
      <c r="C20" s="10" t="n"/>
    </row>
    <row r="21">
      <c r="A21" s="11" t="inlineStr">
        <is>
          <t>TAM — US working creatives + church-based creatives</t>
        </is>
      </c>
      <c r="B21" s="29">
        <f>B11+B13</f>
        <v>4750000</v>
      </c>
      <c r="C21" s="8" t="inlineStr">
        <is>
          <t>people who could hold a seat</t>
        </is>
      </c>
    </row>
    <row r="22">
      <c r="A22" s="11" t="inlineStr">
        <is>
          <t>SAM — San Diego creatives + church creatives + mapped networks, less overlap</t>
        </is>
      </c>
      <c r="B22" s="29">
        <f>(B7+B9+B14)*(1-B15)</f>
        <v>35280.0</v>
      </c>
      <c r="C22" s="8" t="inlineStr">
        <is>
          <t>reachable in three years through partners we already know; research range 26,000–45,000 (market-sizing.md §6)</t>
        </is>
      </c>
    </row>
    <row r="23">
      <c r="A23" s="15" t="inlineStr">
        <is>
          <t>Penetration of SAM</t>
        </is>
      </c>
      <c r="B23" s="15" t="inlineStr">
        <is>
          <t>Paying members</t>
        </is>
      </c>
      <c r="C23" s="7" t="n"/>
    </row>
    <row r="24">
      <c r="A24" s="13" t="n">
        <v>0.01</v>
      </c>
      <c r="B24" s="35">
        <f>A24*B22</f>
        <v>352.8</v>
      </c>
      <c r="C24" s="7" t="n"/>
    </row>
    <row r="25">
      <c r="A25" s="13" t="n">
        <v>0.02</v>
      </c>
      <c r="B25" s="35">
        <f>A25*B22</f>
        <v>705.6</v>
      </c>
      <c r="C25" s="7" t="n"/>
    </row>
    <row r="26">
      <c r="A26" s="13" t="n">
        <v>0.03</v>
      </c>
      <c r="B26" s="35">
        <f>A26*B22</f>
        <v>1058.3999999999999</v>
      </c>
      <c r="C26" s="7" t="n"/>
    </row>
    <row r="27">
      <c r="A27" s="13" t="n">
        <v>0.05</v>
      </c>
      <c r="B27" s="35">
        <f>A27*B22</f>
        <v>1764.0</v>
      </c>
      <c r="C27" s="7" t="n"/>
    </row>
    <row r="28">
      <c r="A28" s="13" t="n">
        <v>0.1</v>
      </c>
      <c r="B28" s="35">
        <f>A28*B22</f>
        <v>3528.0</v>
      </c>
      <c r="C28" s="7" t="n"/>
    </row>
    <row r="29">
      <c r="A29" s="7" t="n"/>
      <c r="B29" s="7" t="n"/>
      <c r="C29" s="7" t="n"/>
    </row>
    <row r="30">
      <c r="A30" s="9" t="inlineStr">
        <is>
          <t>What the active scenario assumes</t>
        </is>
      </c>
      <c r="B30" s="10" t="n"/>
      <c r="C30" s="10" t="n"/>
    </row>
    <row r="31">
      <c r="A31" s="11" t="inlineStr">
        <is>
          <t>Paying and covered members, Y3 (Combined)</t>
        </is>
      </c>
      <c r="B31" s="29">
        <f>Combined!D21</f>
        <v>7620</v>
      </c>
      <c r="C31" s="8" t="inlineStr"/>
    </row>
    <row r="32">
      <c r="A32" s="11" t="inlineStr">
        <is>
          <t xml:space="preserve">  as a share of SAM</t>
        </is>
      </c>
      <c r="B32" s="32">
        <f>B31/B22</f>
        <v>0.21598639455782312</v>
      </c>
      <c r="C32" s="8" t="inlineStr">
        <is>
          <t>Hope*Writers alone holds ~3,200 paying members; 2–3% of SAM by Y3 is the Base case</t>
        </is>
      </c>
    </row>
    <row r="33">
      <c r="A33" s="11" t="inlineStr">
        <is>
          <t>Paying and covered members, Y5 (Combined)</t>
        </is>
      </c>
      <c r="B33" s="29">
        <f>Combined!F21</f>
        <v>35400</v>
      </c>
      <c r="C33" s="8" t="inlineStr"/>
    </row>
    <row r="34">
      <c r="A34" s="11" t="inlineStr">
        <is>
          <t xml:space="preserve">  as a share of SAM</t>
        </is>
      </c>
      <c r="B34" s="32">
        <f>B33/B22</f>
        <v>1.0034013605442176</v>
      </c>
      <c r="C34" s="8" t="inlineStr"/>
    </row>
    <row r="35">
      <c r="A35" s="11" t="inlineStr">
        <is>
          <t>Garden members Y3 as a share of San Diego creatives + church creatives</t>
        </is>
      </c>
      <c r="B35" s="32">
        <f>(Garden!D6+Garden!D7)/(B7+B9)</f>
        <v>0.043333333333333335</v>
      </c>
      <c r="C35" s="8" t="inlineStr">
        <is>
          <t>the local sanity check</t>
        </is>
      </c>
    </row>
    <row r="36">
      <c r="A36" s="11" t="inlineStr">
        <is>
          <t>Active scenario Y3 members vs the founder-estimated range (5,000 to 10,000)</t>
        </is>
      </c>
      <c r="B36" s="36" t="str">
        <f>IF(Combined!D21&lt;B16,"below",IF(Combined!D21&gt;B17,"above","inside"))</f>
        <v>inside</v>
      </c>
      <c r="C36" s="8" t="inlineStr">
        <is>
          <t>Base should sit inside the range; Conservative below it (individuals only); Fundable at or above the top</t>
        </is>
      </c>
    </row>
    <row r="37">
      <c r="A37" s="11" t="inlineStr">
        <is>
          <t>Active scenario Y3 paying individuals vs the 3,000 minimum</t>
        </is>
      </c>
      <c r="B37" s="36" t="str">
        <f>IF(Combined!D22&gt;=B18,"meets","below")</f>
        <v>meets</v>
      </c>
      <c r="C37" s="8" t="inlineStr">
        <is>
          <t>Base meets it (about 3,200); Conservative is below (about 950, the individual-conversion benchmark)</t>
        </is>
      </c>
    </row>
    <row r="38">
      <c r="A38" s="11" t="inlineStr">
        <is>
          <t>Paying and covered members, Y5, as a share of US TAM</t>
        </is>
      </c>
      <c r="B38" s="32">
        <f>Combined!F21/B21</f>
        <v>0.007452631578947369</v>
      </c>
      <c r="C38" s="8" t="inlineStr">
        <is>
          <t>the national sanity check: partner communities and org seats are not confined to San Diego from Y2 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60" customWidth="1" min="8" max="8"/>
  </cols>
  <sheetData>
    <row r="1">
      <c r="A1" s="6" t="inlineStr">
        <is>
          <t>Use of Funds — what the raise buys, and how long it lasts (active scenario)</t>
        </is>
      </c>
      <c r="B1" s="7" t="n"/>
      <c r="C1" s="7" t="n"/>
      <c r="D1" s="7" t="n"/>
      <c r="E1" s="7" t="n"/>
      <c r="F1" s="7" t="n"/>
      <c r="G1" s="7" t="n"/>
      <c r="H1" s="7" t="n"/>
    </row>
    <row r="2">
      <c r="A2" s="8" t="inlineStr">
        <is>
          <t>Blue = edit. The budget window is Y1 plus a share of Y2 (months over 12). Functional totals include salaries with payroll load; founders are in Programs (Haley) and Engineering (Rick).</t>
        </is>
      </c>
      <c r="B2" s="7" t="n"/>
      <c r="C2" s="7" t="n"/>
      <c r="D2" s="7" t="n"/>
      <c r="E2" s="7" t="n"/>
      <c r="F2" s="7" t="n"/>
      <c r="G2" s="7" t="n"/>
      <c r="H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15" t="inlineStr">
        <is>
          <t>Raise amount, $</t>
        </is>
      </c>
      <c r="B4" s="37" t="n">
        <v>350000</v>
      </c>
      <c r="C4" s="7" t="n"/>
      <c r="D4" s="7" t="n"/>
      <c r="E4" s="7" t="n"/>
      <c r="F4" s="7" t="n"/>
      <c r="G4" s="7" t="n"/>
      <c r="H4" s="7" t="n"/>
    </row>
    <row r="5">
      <c r="A5" s="15" t="inlineStr">
        <is>
          <t>Months the raise must cover</t>
        </is>
      </c>
      <c r="B5" s="38" t="n">
        <v>18</v>
      </c>
      <c r="C5" s="7" t="n"/>
      <c r="D5" s="7" t="n"/>
      <c r="E5" s="7" t="n"/>
      <c r="F5" s="7" t="n"/>
      <c r="G5" s="7" t="n"/>
      <c r="H5" s="7" t="n"/>
    </row>
    <row r="6">
      <c r="A6" s="7" t="inlineStr">
        <is>
          <t>Share of Y1 in the window</t>
        </is>
      </c>
      <c r="B6" s="39">
        <f>MIN(B5,12)/12</f>
        <v>1.0</v>
      </c>
      <c r="C6" s="7" t="n"/>
      <c r="D6" s="7" t="n"/>
      <c r="E6" s="7" t="n"/>
      <c r="F6" s="7" t="n"/>
      <c r="G6" s="7" t="n"/>
      <c r="H6" s="7" t="n"/>
    </row>
    <row r="7">
      <c r="A7" s="7" t="inlineStr">
        <is>
          <t>Share of Y2 in the window</t>
        </is>
      </c>
      <c r="B7" s="39">
        <f>MAX(0,B5-12)/12</f>
        <v>0.5</v>
      </c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9" t="inlineStr">
        <is>
          <t>Budget for the window, by function</t>
        </is>
      </c>
      <c r="B9" s="10" t="n"/>
      <c r="C9" s="10" t="n"/>
      <c r="D9" s="10" t="n"/>
      <c r="E9" s="10" t="n"/>
      <c r="F9" s="10" t="n"/>
      <c r="G9" s="10" t="n"/>
      <c r="H9" s="10" t="n"/>
    </row>
    <row r="10">
      <c r="A10" s="17" t="inlineStr">
        <is>
          <t>Function</t>
        </is>
      </c>
      <c r="B10" s="17" t="inlineStr">
        <is>
          <t>Window $</t>
        </is>
      </c>
      <c r="C10" s="17" t="inlineStr">
        <is>
          <t>Share</t>
        </is>
      </c>
      <c r="D10" s="17" t="inlineStr">
        <is>
          <t>Y1</t>
        </is>
      </c>
      <c r="E10" s="17" t="inlineStr">
        <is>
          <t>Y2</t>
        </is>
      </c>
      <c r="F10" s="17" t="inlineStr">
        <is>
          <t>Y3</t>
        </is>
      </c>
      <c r="G10" s="17" t="inlineStr">
        <is>
          <t>Y4</t>
        </is>
      </c>
      <c r="H10" s="17" t="inlineStr">
        <is>
          <t>Note</t>
        </is>
      </c>
    </row>
    <row r="11">
      <c r="A11" s="11" t="inlineStr">
        <is>
          <t>Programs &amp; community (incl. founder 2)</t>
        </is>
      </c>
      <c r="B11" s="26">
        <f>Combined!B38*$B$6+Combined!C38*$B$7</f>
        <v>167957.5</v>
      </c>
      <c r="C11" s="39">
        <f>IF(B17=0,0,B11/B17)</f>
        <v>0.3669765980900019</v>
      </c>
      <c r="D11" s="26">
        <f>Combined!B38</f>
        <v>82720.0</v>
      </c>
      <c r="E11" s="26">
        <f>Combined!C38</f>
        <v>170475.0</v>
      </c>
      <c r="F11" s="26">
        <f>Combined!D38</f>
        <v>251720.0</v>
      </c>
      <c r="G11" s="26">
        <f>Combined!E38</f>
        <v>283000.0</v>
      </c>
      <c r="H11" s="8" t="inlineStr">
        <is>
          <t>community lead hire, coordinator hours, gathering stipends, program administration</t>
        </is>
      </c>
    </row>
    <row r="12">
      <c r="A12" s="11" t="inlineStr">
        <is>
          <t>Marketing &amp; launch (incl. founder 1 business half)</t>
        </is>
      </c>
      <c r="B12" s="26">
        <f>Combined!B46*$B$6+Combined!C46*$B$7</f>
        <v>166047.5</v>
      </c>
      <c r="C12" s="39">
        <f>IF(B17=0,0,B12/B17)</f>
        <v>0.3628033679433761</v>
      </c>
      <c r="D12" s="26">
        <f>Combined!B46</f>
        <v>78560.0</v>
      </c>
      <c r="E12" s="26">
        <f>Combined!C46</f>
        <v>174975.0</v>
      </c>
      <c r="F12" s="26">
        <f>Combined!D46</f>
        <v>321450.0</v>
      </c>
      <c r="G12" s="26">
        <f>Combined!E46</f>
        <v>444000.0</v>
      </c>
      <c r="H12" s="8" t="inlineStr">
        <is>
          <t>Rick's sales and partnerships half, part-time launch help, 2027 launches, film series, content, metro launches, travel</t>
        </is>
      </c>
    </row>
    <row r="13">
      <c r="A13" s="11" t="inlineStr">
        <is>
          <t>Support</t>
        </is>
      </c>
      <c r="B13" s="26">
        <f>Combined!B49*$B$6+Combined!C49*$B$7</f>
        <v>5000</v>
      </c>
      <c r="C13" s="39">
        <f>IF(B17=0,0,B13/B17)</f>
        <v>0.010924686247711531</v>
      </c>
      <c r="D13" s="26">
        <f>Combined!B49</f>
        <v>2000.0</v>
      </c>
      <c r="E13" s="26">
        <f>Combined!C49</f>
        <v>6000.0</v>
      </c>
      <c r="F13" s="26">
        <f>Combined!D49</f>
        <v>8000.0</v>
      </c>
      <c r="G13" s="26">
        <f>Combined!E49</f>
        <v>10000.0</v>
      </c>
      <c r="H13" s="8" t="inlineStr">
        <is>
          <t>part-time coverage, then a support hire</t>
        </is>
      </c>
    </row>
    <row r="14">
      <c r="A14" s="11" t="inlineStr">
        <is>
          <t>Engineering &amp; platform (incl. founder 1)</t>
        </is>
      </c>
      <c r="B14" s="26">
        <f>Combined!B55*$B$6+Combined!C55*$B$7</f>
        <v>75485</v>
      </c>
      <c r="C14" s="39">
        <f>IF(B17=0,0,B14/B17)</f>
        <v>0.164929988281701</v>
      </c>
      <c r="D14" s="26">
        <f>Combined!B55</f>
        <v>41060.0</v>
      </c>
      <c r="E14" s="26">
        <f>Combined!C55</f>
        <v>68850.0</v>
      </c>
      <c r="F14" s="26">
        <f>Combined!D55</f>
        <v>107950.0</v>
      </c>
      <c r="G14" s="26">
        <f>Combined!E55</f>
        <v>144000.0</v>
      </c>
      <c r="H14" s="8" t="inlineStr">
        <is>
          <t>hosting, contractors, payments compliance; founder is the engineering team until Y3</t>
        </is>
      </c>
    </row>
    <row r="15">
      <c r="A15" s="11" t="inlineStr">
        <is>
          <t>Operations &amp; G&amp;A</t>
        </is>
      </c>
      <c r="B15" s="26">
        <f>Combined!B61*$B$6+Combined!C61*$B$7</f>
        <v>34500</v>
      </c>
      <c r="C15" s="39">
        <f>IF(B17=0,0,B15/B17)</f>
        <v>0.07538033510920956</v>
      </c>
      <c r="D15" s="26">
        <f>Combined!B61</f>
        <v>21500.0</v>
      </c>
      <c r="E15" s="26">
        <f>Combined!C61</f>
        <v>26000.0</v>
      </c>
      <c r="F15" s="26">
        <f>Combined!D61</f>
        <v>42000.0</v>
      </c>
      <c r="G15" s="26">
        <f>Combined!E61</f>
        <v>60000.0</v>
      </c>
      <c r="H15" s="8" t="inlineStr">
        <is>
          <t>legal (entity, agreements), accounting, insurance, admin</t>
        </is>
      </c>
    </row>
    <row r="16">
      <c r="A16" s="11" t="inlineStr">
        <is>
          <t>Payments (cost of money moved)</t>
        </is>
      </c>
      <c r="B16" s="26">
        <f>Combined!B63*$B$6+Combined!C63*$B$7</f>
        <v>8689.047858</v>
      </c>
      <c r="C16" s="39">
        <f>IF(B17=0,0,B16/B17)</f>
        <v>0.018985024327999988</v>
      </c>
      <c r="D16" s="26">
        <f>Combined!B63</f>
        <v>2325.7135380000004</v>
      </c>
      <c r="E16" s="26">
        <f>Combined!C63</f>
        <v>12726.66864</v>
      </c>
      <c r="F16" s="26">
        <f>Combined!D63</f>
        <v>48205.799232</v>
      </c>
      <c r="G16" s="26">
        <f>Combined!E63</f>
        <v>125747.647488</v>
      </c>
      <c r="H16" s="8" t="inlineStr">
        <is>
          <t>card processing absorbed and payout costs</t>
        </is>
      </c>
    </row>
    <row r="17">
      <c r="A17" s="15" t="inlineStr">
        <is>
          <t>TOTAL SPEND IN THE WINDOW</t>
        </is>
      </c>
      <c r="B17" s="33">
        <f>SUM(B11:B16)</f>
        <v>457679.047858</v>
      </c>
      <c r="C17" s="7" t="n"/>
      <c r="D17" s="33">
        <f>SUM(D11:D16)</f>
        <v>228165.713538</v>
      </c>
      <c r="E17" s="33">
        <f>SUM(E11:E16)</f>
        <v>459026.66864</v>
      </c>
      <c r="F17" s="33">
        <f>SUM(F11:F16)</f>
        <v>779325.799232</v>
      </c>
      <c r="G17" s="33">
        <f>SUM(G11:G16)</f>
        <v>1066747.647488</v>
      </c>
      <c r="H17" s="7" t="n"/>
    </row>
    <row r="18">
      <c r="A18" s="11" t="inlineStr">
        <is>
          <t xml:space="preserve">  of which founders (both, loaded)</t>
        </is>
      </c>
      <c r="B18" s="26">
        <f>Combined!B67*$B$6+Combined!C67*$B$7</f>
        <v>203940.0</v>
      </c>
      <c r="C18" s="39">
        <f>IF(B17=0,0,B18/B17)</f>
        <v>0.44559610267165795</v>
      </c>
      <c r="D18" s="26">
        <f>Combined!B67</f>
        <v>114240.00000000001</v>
      </c>
      <c r="E18" s="26">
        <f>Combined!C67</f>
        <v>179400</v>
      </c>
      <c r="F18" s="26">
        <f>Combined!D67</f>
        <v>247800</v>
      </c>
      <c r="G18" s="26">
        <f>Combined!E67</f>
        <v>300000</v>
      </c>
      <c r="H18" s="7" t="n"/>
    </row>
    <row r="19">
      <c r="A19" s="11" t="inlineStr">
        <is>
          <t xml:space="preserve">    founder 2 (Haley), loaded, inside Programs &amp; community</t>
        </is>
      </c>
      <c r="B19" s="26">
        <f>Combined!B33*$B$6+Combined!C33*$B$7</f>
        <v>101970.0</v>
      </c>
      <c r="C19" s="7" t="n"/>
      <c r="D19" s="26">
        <f>Combined!B33</f>
        <v>57120.00000000001</v>
      </c>
      <c r="E19" s="26">
        <f>Combined!C33</f>
        <v>89700.0</v>
      </c>
      <c r="F19" s="26">
        <f>Combined!D33</f>
        <v>123900.0</v>
      </c>
      <c r="G19" s="26">
        <f>Combined!E33</f>
        <v>150000.0</v>
      </c>
      <c r="H19" s="8" t="inlineStr"/>
    </row>
    <row r="20">
      <c r="A20" s="11" t="inlineStr">
        <is>
          <t xml:space="preserve">    founder 1 (Rick), loaded, product half inside Engineering &amp; platform</t>
        </is>
      </c>
      <c r="B20" s="26">
        <f>Combined!B50*$B$6+Combined!C50*$B$7</f>
        <v>50985.0</v>
      </c>
      <c r="C20" s="7" t="n"/>
      <c r="D20" s="26">
        <f>Combined!B50</f>
        <v>28560.000000000004</v>
      </c>
      <c r="E20" s="26">
        <f>Combined!C50</f>
        <v>44850.0</v>
      </c>
      <c r="F20" s="26">
        <f>Combined!D50</f>
        <v>61950.0</v>
      </c>
      <c r="G20" s="26">
        <f>Combined!E50</f>
        <v>75000.0</v>
      </c>
      <c r="H20" s="8" t="inlineStr"/>
    </row>
    <row r="21">
      <c r="A21" s="11" t="inlineStr">
        <is>
          <t xml:space="preserve">    founder 1 (Rick), loaded, business half inside Marketing &amp; launch</t>
        </is>
      </c>
      <c r="B21" s="26">
        <f>Combined!B39*$B$6+Combined!C39*$B$7</f>
        <v>50985.0</v>
      </c>
      <c r="C21" s="7" t="n"/>
      <c r="D21" s="26">
        <f>Combined!B39</f>
        <v>28560.000000000004</v>
      </c>
      <c r="E21" s="26">
        <f>Combined!C39</f>
        <v>44850.0</v>
      </c>
      <c r="F21" s="26">
        <f>Combined!D39</f>
        <v>61950.0</v>
      </c>
      <c r="G21" s="26">
        <f>Combined!E39</f>
        <v>75000.0</v>
      </c>
      <c r="H21" s="8" t="inlineStr"/>
    </row>
    <row r="22">
      <c r="A22" s="11" t="inlineStr">
        <is>
          <t xml:space="preserve">  of which all people (founders + staff, loaded)</t>
        </is>
      </c>
      <c r="B22" s="26">
        <f>Combined!B66*$B$6+Combined!C66*$B$7</f>
        <v>265190.0</v>
      </c>
      <c r="C22" s="39">
        <f>IF(B17=0,0,B22/B17)</f>
        <v>0.5794235092061242</v>
      </c>
      <c r="D22" s="26">
        <f>Combined!B66</f>
        <v>135240.00000000003</v>
      </c>
      <c r="E22" s="26">
        <f>Combined!C66</f>
        <v>259900</v>
      </c>
      <c r="F22" s="26">
        <f>Combined!D66</f>
        <v>413000</v>
      </c>
      <c r="G22" s="26">
        <f>Combined!E66</f>
        <v>468000</v>
      </c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11" t="inlineStr">
        <is>
          <t>Platform revenue in the window</t>
        </is>
      </c>
      <c r="B24" s="26">
        <f>Combined!B14*$B$6+Combined!C14*$B$7</f>
        <v>109339.575</v>
      </c>
      <c r="C24" s="7" t="n"/>
      <c r="D24" s="26">
        <f>Combined!B14</f>
        <v>36171.845400000006</v>
      </c>
      <c r="E24" s="26">
        <f>Combined!C14</f>
        <v>146335.45919999998</v>
      </c>
      <c r="F24" s="26">
        <f>Combined!D14</f>
        <v>461472.5248</v>
      </c>
      <c r="G24" s="26">
        <f>Combined!E14</f>
        <v>1063406.832</v>
      </c>
      <c r="H24" s="7" t="n"/>
    </row>
    <row r="25">
      <c r="A25" s="15" t="inlineStr">
        <is>
          <t>NET CASH NEED IN THE WINDOW (spend less revenue)</t>
        </is>
      </c>
      <c r="B25" s="33">
        <f>B17-B24</f>
        <v>348339.47285799996</v>
      </c>
      <c r="C25" s="7" t="n"/>
      <c r="D25" s="7" t="n"/>
      <c r="E25" s="7" t="n"/>
      <c r="F25" s="7" t="n"/>
      <c r="G25" s="7" t="n"/>
      <c r="H25" s="7" t="n"/>
    </row>
    <row r="26">
      <c r="A26" s="15" t="inlineStr">
        <is>
          <t>Raise less net need (cushion)</t>
        </is>
      </c>
      <c r="B26" s="33">
        <f>B4-B25</f>
        <v>1660.5271420000354</v>
      </c>
      <c r="C26" s="39">
        <f>IF(B25=0,0,B26/B25)</f>
        <v>0.004766979545487647</v>
      </c>
      <c r="D26" s="7" t="n"/>
      <c r="E26" s="7" t="n"/>
      <c r="F26" s="7" t="n"/>
      <c r="G26" s="7" t="n"/>
      <c r="H26" s="8" t="inlineStr">
        <is>
          <t>negative = the raise does not cover the window</t>
        </is>
      </c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9" t="inlineStr">
        <is>
          <t>Headcount plan (FTE by year; founders first, then hires gated on revenue)</t>
        </is>
      </c>
      <c r="B28" s="10" t="n"/>
      <c r="C28" s="10" t="n"/>
      <c r="D28" s="10" t="n"/>
      <c r="E28" s="10" t="n"/>
      <c r="F28" s="10" t="n"/>
      <c r="G28" s="10" t="n"/>
      <c r="H28" s="10" t="n"/>
    </row>
    <row r="29">
      <c r="A29" s="17" t="inlineStr">
        <is>
          <t>Role</t>
        </is>
      </c>
      <c r="B29" s="17" t="inlineStr"/>
      <c r="C29" s="17" t="inlineStr"/>
      <c r="D29" s="17" t="inlineStr">
        <is>
          <t>Y1</t>
        </is>
      </c>
      <c r="E29" s="17" t="inlineStr">
        <is>
          <t>Y2</t>
        </is>
      </c>
      <c r="F29" s="17" t="inlineStr">
        <is>
          <t>Y3</t>
        </is>
      </c>
      <c r="G29" s="17" t="inlineStr">
        <is>
          <t>Y4</t>
        </is>
      </c>
      <c r="H29" s="17" t="inlineStr">
        <is>
          <t>Y5</t>
        </is>
      </c>
    </row>
    <row r="30">
      <c r="A30" s="11" t="inlineStr">
        <is>
          <t>Founders (Rick: product &amp; engineering; Haley: community &amp; programs)</t>
        </is>
      </c>
      <c r="B30" s="7" t="n"/>
      <c r="C30" s="7" t="n"/>
      <c r="D30" s="40" t="n">
        <v>2</v>
      </c>
      <c r="E30" s="40" t="n">
        <v>2</v>
      </c>
      <c r="F30" s="40" t="n">
        <v>2</v>
      </c>
      <c r="G30" s="40" t="n">
        <v>2</v>
      </c>
      <c r="H30" s="40" t="n">
        <v>2</v>
      </c>
    </row>
    <row r="31">
      <c r="A31" s="11" t="inlineStr">
        <is>
          <t>Community &amp; partnerships</t>
        </is>
      </c>
      <c r="B31" s="7" t="n"/>
      <c r="C31" s="7" t="n"/>
      <c r="D31" s="34">
        <f>Inputs!$C$174</f>
        <v>0</v>
      </c>
      <c r="E31" s="34">
        <f>Inputs!$D$174</f>
        <v>0.5</v>
      </c>
      <c r="F31" s="34">
        <f>Inputs!$E$174</f>
        <v>1</v>
      </c>
      <c r="G31" s="34">
        <f>Inputs!$F$174</f>
        <v>1</v>
      </c>
      <c r="H31" s="34">
        <f>Inputs!$G$174</f>
        <v>1</v>
      </c>
    </row>
    <row r="32">
      <c r="A32" s="11" t="inlineStr">
        <is>
          <t>Member support</t>
        </is>
      </c>
      <c r="B32" s="7" t="n"/>
      <c r="C32" s="7" t="n"/>
      <c r="D32" s="34">
        <f>Inputs!$C$179</f>
        <v>0</v>
      </c>
      <c r="E32" s="34">
        <f>Inputs!$D$179</f>
        <v>0</v>
      </c>
      <c r="F32" s="34">
        <f>Inputs!$E$179</f>
        <v>0</v>
      </c>
      <c r="G32" s="34">
        <f>Inputs!$F$179</f>
        <v>0</v>
      </c>
      <c r="H32" s="34">
        <f>Inputs!$G$179</f>
        <v>0</v>
      </c>
    </row>
    <row r="33">
      <c r="A33" s="11" t="inlineStr">
        <is>
          <t>Marketing</t>
        </is>
      </c>
      <c r="B33" s="7" t="n"/>
      <c r="C33" s="7" t="n"/>
      <c r="D33" s="34">
        <f>Inputs!$C$184</f>
        <v>0.25</v>
      </c>
      <c r="E33" s="34">
        <f>Inputs!$D$184</f>
        <v>0.5</v>
      </c>
      <c r="F33" s="34">
        <f>Inputs!$E$184</f>
        <v>1</v>
      </c>
      <c r="G33" s="34">
        <f>Inputs!$F$184</f>
        <v>1</v>
      </c>
      <c r="H33" s="34">
        <f>Inputs!$G$184</f>
        <v>1</v>
      </c>
    </row>
    <row r="34">
      <c r="A34" s="11" t="inlineStr">
        <is>
          <t>Engineering</t>
        </is>
      </c>
      <c r="B34" s="7" t="n"/>
      <c r="C34" s="7" t="n"/>
      <c r="D34" s="34">
        <f>Inputs!$C$189</f>
        <v>0</v>
      </c>
      <c r="E34" s="34">
        <f>Inputs!$D$189</f>
        <v>0</v>
      </c>
      <c r="F34" s="34">
        <f>Inputs!$E$189</f>
        <v>0</v>
      </c>
      <c r="G34" s="34">
        <f>Inputs!$F$189</f>
        <v>0</v>
      </c>
      <c r="H34" s="34">
        <f>Inputs!$G$189</f>
        <v>0</v>
      </c>
    </row>
    <row r="35">
      <c r="A35" s="11" t="inlineStr">
        <is>
          <t>Operations / finance</t>
        </is>
      </c>
      <c r="B35" s="7" t="n"/>
      <c r="C35" s="7" t="n"/>
      <c r="D35" s="34">
        <f>Inputs!$C$194</f>
        <v>0</v>
      </c>
      <c r="E35" s="34">
        <f>Inputs!$D$194</f>
        <v>0</v>
      </c>
      <c r="F35" s="34">
        <f>Inputs!$E$194</f>
        <v>0</v>
      </c>
      <c r="G35" s="34">
        <f>Inputs!$F$194</f>
        <v>0</v>
      </c>
      <c r="H35" s="34">
        <f>Inputs!$G$194</f>
        <v>0</v>
      </c>
    </row>
    <row r="36">
      <c r="A36" s="15" t="inlineStr">
        <is>
          <t>TOTAL FTE</t>
        </is>
      </c>
      <c r="B36" s="7" t="n"/>
      <c r="C36" s="7" t="n"/>
      <c r="D36" s="41">
        <f>SUM(D30:D35)</f>
        <v>2.25</v>
      </c>
      <c r="E36" s="41">
        <f>SUM(E30:E35)</f>
        <v>3.0</v>
      </c>
      <c r="F36" s="41">
        <f>SUM(F30:F35)</f>
        <v>4</v>
      </c>
      <c r="G36" s="41">
        <f>SUM(G30:G35)</f>
        <v>4</v>
      </c>
      <c r="H36" s="41">
        <f>SUM(H30:H35)</f>
        <v>4</v>
      </c>
    </row>
    <row r="37">
      <c r="A37" s="11" t="inlineStr">
        <is>
          <t>Revenue per FTE</t>
        </is>
      </c>
      <c r="B37" s="7" t="n"/>
      <c r="C37" s="7" t="n"/>
      <c r="D37" s="42">
        <f>IF(D36=0,0,Combined!B14/D36)</f>
        <v>16076.375733333336</v>
      </c>
      <c r="E37" s="42">
        <f>IF(E36=0,0,Combined!C14/E36)</f>
        <v>48778.486399999994</v>
      </c>
      <c r="F37" s="42">
        <f>IF(F36=0,0,Combined!D14/F36)</f>
        <v>115368.1312</v>
      </c>
      <c r="G37" s="42">
        <f>IF(G36=0,0,Combined!E14/G36)</f>
        <v>265851.708</v>
      </c>
      <c r="H37" s="42">
        <f>IF(H36=0,0,Combined!F14/H36)</f>
        <v>527663.528</v>
      </c>
    </row>
    <row r="38">
      <c r="A38" s="11" t="inlineStr">
        <is>
          <t>Founder pay, each (cash paid in the year)</t>
        </is>
      </c>
      <c r="B38" s="7" t="n"/>
      <c r="C38" s="7" t="n"/>
      <c r="D38" s="26">
        <f>Inputs!$C$154</f>
        <v>51000</v>
      </c>
      <c r="E38" s="26">
        <f>Inputs!$D$154</f>
        <v>78000</v>
      </c>
      <c r="F38" s="26">
        <f>Inputs!$E$154</f>
        <v>105000</v>
      </c>
      <c r="G38" s="26">
        <f>Inputs!$F$154</f>
        <v>125000</v>
      </c>
      <c r="H38" s="43" t="inlineStr">
        <is>
          <t>conditional on a first close of at least $150k; starts the month after, on a ramp</t>
        </is>
      </c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9" t="inlineStr">
        <is>
          <t>Runway by raise size (active scenario; burn = costs less revenue, spent evenly within each year)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>
      <c r="A41" s="15" t="inlineStr">
        <is>
          <t>Net burn by year</t>
        </is>
      </c>
      <c r="B41" s="26">
        <f>MAX(0,Combined!B65-Combined!B14)</f>
        <v>191993.86813800002</v>
      </c>
      <c r="C41" s="26">
        <f>MAX(0,Combined!C65-Combined!C14)</f>
        <v>312691.20944</v>
      </c>
      <c r="D41" s="26">
        <f>MAX(0,Combined!D65-Combined!D14)</f>
        <v>317853.274432</v>
      </c>
      <c r="E41" s="26">
        <f>MAX(0,Combined!E65-Combined!E14)</f>
        <v>3340.8154880001675</v>
      </c>
      <c r="F41" s="26">
        <f>MAX(0,Combined!F65-Combined!F14)</f>
        <v>0</v>
      </c>
      <c r="G41" s="7" t="n"/>
      <c r="H41" s="7" t="n"/>
    </row>
    <row r="42">
      <c r="A42" s="11" t="inlineStr">
        <is>
          <t>Monthly burn by year</t>
        </is>
      </c>
      <c r="B42" s="42">
        <f>B41/12</f>
        <v>15999.489011500002</v>
      </c>
      <c r="C42" s="42">
        <f>C41/12</f>
        <v>26057.600786666666</v>
      </c>
      <c r="D42" s="42">
        <f>D41/12</f>
        <v>26487.772869333334</v>
      </c>
      <c r="E42" s="42">
        <f>E41/12</f>
        <v>278.4012906666806</v>
      </c>
      <c r="F42" s="42">
        <f>F41/12</f>
        <v>0.0</v>
      </c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17" t="inlineStr">
        <is>
          <t>Raise, $</t>
        </is>
      </c>
      <c r="B44" s="17" t="inlineStr">
        <is>
          <t>Runway, months</t>
        </is>
      </c>
      <c r="C44" s="17" t="inlineStr">
        <is>
          <t>Note</t>
        </is>
      </c>
      <c r="D44" s="7" t="n"/>
      <c r="E44" s="7" t="n"/>
      <c r="F44" s="7" t="n"/>
      <c r="G44" s="7" t="n"/>
      <c r="H44" s="7" t="n"/>
    </row>
    <row r="45">
      <c r="A45" s="12" t="n">
        <v>150000</v>
      </c>
      <c r="B45" s="44">
        <f>MIN(60,IF(A45&lt;=$B$41,A45/MAX(1,$B$41/12),IF(A45&lt;=$B$41+$C$41,12+(A45-$B$41)/MAX(1,$C$41/12),IF(A45&lt;=$B$41+$C$41+$D$41,24+(A45-$B$41-$C$41)/MAX(1,$D$41/12),IF(A45&lt;=$B$41+$C$41+$D$41+$E$41,36+(A45-$B$41-$C$41-$D$41)/MAX(1,$E$41/12),IF(A45&lt;=$B$41+$C$41+$D$41+$E$41+$F$41,48+(A45-$B$41-$C$41-$D$41-$E$41)/MAX(1,$F$41/12),60))))))</f>
        <v>9.37529941688663</v>
      </c>
      <c r="C45" s="8" t="inlineStr">
        <is>
          <t>60 = the raise outlasts the five-year model</t>
        </is>
      </c>
      <c r="D45" s="7" t="n"/>
      <c r="E45" s="7" t="n"/>
      <c r="F45" s="7" t="n"/>
      <c r="G45" s="7" t="n"/>
      <c r="H45" s="7" t="n"/>
    </row>
    <row r="46">
      <c r="A46" s="12" t="n">
        <v>250000</v>
      </c>
      <c r="B46" s="44">
        <f>MIN(60,IF(A46&lt;=$B$41,A46/MAX(1,$B$41/12),IF(A46&lt;=$B$41+$C$41,12+(A46-$B$41)/MAX(1,$C$41/12),IF(A46&lt;=$B$41+$C$41+$D$41,24+(A46-$B$41-$C$41)/MAX(1,$D$41/12),IF(A46&lt;=$B$41+$C$41+$D$41+$E$41,36+(A46-$B$41-$C$41-$D$41)/MAX(1,$E$41/12),IF(A46&lt;=$B$41+$C$41+$D$41+$E$41+$F$41,48+(A46-$B$41-$C$41-$D$41-$E$41)/MAX(1,$F$41/12),60))))))</f>
        <v>14.226073395509266</v>
      </c>
      <c r="C46" s="8" t="inlineStr">
        <is>
          <t>60 = the raise outlasts the five-year model</t>
        </is>
      </c>
      <c r="D46" s="7" t="n"/>
      <c r="E46" s="7" t="n"/>
      <c r="F46" s="7" t="n"/>
      <c r="G46" s="7" t="n"/>
      <c r="H46" s="7" t="n"/>
    </row>
    <row r="47">
      <c r="A47" s="12" t="n">
        <v>350000</v>
      </c>
      <c r="B47" s="44">
        <f>MIN(60,IF(A47&lt;=$B$41,A47/MAX(1,$B$41/12),IF(A47&lt;=$B$41+$C$41,12+(A47-$B$41)/MAX(1,$C$41/12),IF(A47&lt;=$B$41+$C$41+$D$41,24+(A47-$B$41-$C$41)/MAX(1,$D$41/12),IF(A47&lt;=$B$41+$C$41+$D$41+$E$41,36+(A47-$B$41-$C$41-$D$41)/MAX(1,$E$41/12),IF(A47&lt;=$B$41+$C$41+$D$41+$E$41+$F$41,48+(A47-$B$41-$C$41-$D$41-$E$41)/MAX(1,$F$41/12),60))))))</f>
        <v>18.063725250670416</v>
      </c>
      <c r="C47" s="8" t="inlineStr">
        <is>
          <t>60 = the raise outlasts the five-year model</t>
        </is>
      </c>
      <c r="D47" s="7" t="n"/>
      <c r="E47" s="7" t="n"/>
      <c r="F47" s="7" t="n"/>
      <c r="G47" s="7" t="n"/>
      <c r="H47" s="7" t="n"/>
    </row>
    <row r="48">
      <c r="A48" s="12" t="n">
        <v>500000</v>
      </c>
      <c r="B48" s="44">
        <f>MIN(60,IF(A48&lt;=$B$41,A48/MAX(1,$B$41/12),IF(A48&lt;=$B$41+$C$41,12+(A48-$B$41)/MAX(1,$C$41/12),IF(A48&lt;=$B$41+$C$41+$D$41,24+(A48-$B$41-$C$41)/MAX(1,$D$41/12),IF(A48&lt;=$B$41+$C$41+$D$41+$E$41,36+(A48-$B$41-$C$41-$D$41)/MAX(1,$E$41/12),IF(A48&lt;=$B$41+$C$41+$D$41+$E$41+$F$41,48+(A48-$B$41-$C$41-$D$41-$E$41)/MAX(1,$F$41/12),60))))))</f>
        <v>23.82020303341214</v>
      </c>
      <c r="C48" s="8" t="inlineStr">
        <is>
          <t>60 = the raise outlasts the five-year model</t>
        </is>
      </c>
      <c r="D48" s="7" t="n"/>
      <c r="E48" s="7" t="n"/>
      <c r="F48" s="7" t="n"/>
      <c r="G48" s="7" t="n"/>
      <c r="H48" s="7" t="n"/>
    </row>
    <row r="49">
      <c r="A49" s="12" t="n">
        <v>650000</v>
      </c>
      <c r="B49" s="44">
        <f>MIN(60,IF(A49&lt;=$B$41,A49/MAX(1,$B$41/12),IF(A49&lt;=$B$41+$C$41,12+(A49-$B$41)/MAX(1,$C$41/12),IF(A49&lt;=$B$41+$C$41+$D$41,24+(A49-$B$41-$C$41)/MAX(1,$D$41/12),IF(A49&lt;=$B$41+$C$41+$D$41+$E$41,36+(A49-$B$41-$C$41-$D$41)/MAX(1,$E$41/12),IF(A49&lt;=$B$41+$C$41+$D$41+$E$41+$F$41,48+(A49-$B$41-$C$41-$D$41-$E$41)/MAX(1,$F$41/12),60))))))</f>
        <v>29.48611327720349</v>
      </c>
      <c r="C49" s="8" t="inlineStr">
        <is>
          <t>60 = the raise outlasts the five-year model</t>
        </is>
      </c>
      <c r="D49" s="7" t="n"/>
      <c r="E49" s="7" t="n"/>
      <c r="F49" s="7" t="n"/>
      <c r="G49" s="7" t="n"/>
      <c r="H49" s="7" t="n"/>
    </row>
    <row r="50">
      <c r="A50" s="12" t="n">
        <v>800000</v>
      </c>
      <c r="B50" s="44">
        <f>MIN(60,IF(A50&lt;=$B$41,A50/MAX(1,$B$41/12),IF(A50&lt;=$B$41+$C$41,12+(A50-$B$41)/MAX(1,$C$41/12),IF(A50&lt;=$B$41+$C$41+$D$41,24+(A50-$B$41-$C$41)/MAX(1,$D$41/12),IF(A50&lt;=$B$41+$C$41+$D$41+$E$41,36+(A50-$B$41-$C$41-$D$41)/MAX(1,$E$41/12),IF(A50&lt;=$B$41+$C$41+$D$41+$E$41+$F$41,48+(A50-$B$41-$C$41-$D$41-$E$41)/MAX(1,$F$41/12),60))))))</f>
        <v>35.14910354595746</v>
      </c>
      <c r="C50" s="8" t="inlineStr">
        <is>
          <t>60 = the raise outlasts the five-year model</t>
        </is>
      </c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8" t="inlineStr">
        <is>
          <t>Read: the window budget is what the raise has to cover; the cushion should be positive after the first hire. Runway assumes the scenario's spend from month one; a lean first year stretches it.</t>
        </is>
      </c>
      <c r="B52" s="7" t="n"/>
      <c r="C52" s="7" t="n"/>
      <c r="D52" s="7" t="n"/>
      <c r="E52" s="7" t="n"/>
      <c r="F52" s="7" t="n"/>
      <c r="G52" s="7" t="n"/>
      <c r="H52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6" t="inlineStr">
        <is>
          <t>Sensitivity — Y3 platform revenue = paying/covered members × revenue per member</t>
        </is>
      </c>
      <c r="B1" s="7" t="n"/>
      <c r="C1" s="7" t="n"/>
      <c r="D1" s="7" t="n"/>
      <c r="E1" s="7" t="n"/>
      <c r="F1" s="7" t="n"/>
      <c r="G1" s="7" t="n"/>
      <c r="H1" s="7" t="n"/>
    </row>
    <row r="2">
      <c r="A2" s="8" t="inlineStr">
        <is>
          <t>Rows: members. Columns: revenue per member per year (Combined!D shows the active scenario's actual). Black = formula.</t>
        </is>
      </c>
      <c r="B2" s="7" t="n"/>
      <c r="C2" s="7" t="n"/>
      <c r="D2" s="7" t="n"/>
      <c r="E2" s="7" t="n"/>
      <c r="F2" s="7" t="n"/>
      <c r="G2" s="7" t="n"/>
      <c r="H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inlineStr">
        <is>
          <t>Active scenario Y3 members</t>
        </is>
      </c>
      <c r="B4" s="24">
        <f>Combined!D21</f>
        <v>7620</v>
      </c>
      <c r="C4" s="7" t="n"/>
      <c r="D4" s="7" t="n"/>
      <c r="E4" s="7" t="n"/>
      <c r="F4" s="7" t="n"/>
      <c r="G4" s="7" t="n"/>
      <c r="H4" s="7" t="n"/>
    </row>
    <row r="5">
      <c r="A5" s="7" t="inlineStr">
        <is>
          <t>Active scenario Y3 revenue per member</t>
        </is>
      </c>
      <c r="B5" s="45">
        <f>Combined!D29</f>
        <v>60.56069879265092</v>
      </c>
      <c r="C5" s="7" t="n"/>
      <c r="D5" s="7" t="n"/>
      <c r="E5" s="7" t="n"/>
      <c r="F5" s="7" t="n"/>
      <c r="G5" s="7" t="n"/>
      <c r="H5" s="7" t="n"/>
    </row>
    <row r="6">
      <c r="A6" s="7" t="inlineStr">
        <is>
          <t>Active scenario Y3 costs</t>
        </is>
      </c>
      <c r="B6" s="26">
        <f>Combined!D65</f>
        <v>779325.799232</v>
      </c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15" t="inlineStr">
        <is>
          <t>Members \ $ per member</t>
        </is>
      </c>
      <c r="B8" s="46" t="n">
        <v>20</v>
      </c>
      <c r="C8" s="46" t="n">
        <v>40</v>
      </c>
      <c r="D8" s="46" t="n">
        <v>60</v>
      </c>
      <c r="E8" s="46" t="n">
        <v>90</v>
      </c>
      <c r="F8" s="46" t="n">
        <v>120</v>
      </c>
      <c r="G8" s="46" t="n">
        <v>160</v>
      </c>
      <c r="H8" s="46" t="n">
        <v>200</v>
      </c>
    </row>
    <row r="9">
      <c r="A9" s="18" t="n">
        <v>1000</v>
      </c>
      <c r="B9" s="42">
        <f>$A9*B$8</f>
        <v>20000</v>
      </c>
      <c r="C9" s="42">
        <f>$A9*C$8</f>
        <v>40000</v>
      </c>
      <c r="D9" s="42">
        <f>$A9*D$8</f>
        <v>60000</v>
      </c>
      <c r="E9" s="42">
        <f>$A9*E$8</f>
        <v>90000</v>
      </c>
      <c r="F9" s="42">
        <f>$A9*F$8</f>
        <v>120000</v>
      </c>
      <c r="G9" s="42">
        <f>$A9*G$8</f>
        <v>160000</v>
      </c>
      <c r="H9" s="42">
        <f>$A9*H$8</f>
        <v>200000</v>
      </c>
    </row>
    <row r="10">
      <c r="A10" s="18" t="n">
        <v>2500</v>
      </c>
      <c r="B10" s="42">
        <f>$A10*B$8</f>
        <v>50000</v>
      </c>
      <c r="C10" s="42">
        <f>$A10*C$8</f>
        <v>100000</v>
      </c>
      <c r="D10" s="42">
        <f>$A10*D$8</f>
        <v>150000</v>
      </c>
      <c r="E10" s="42">
        <f>$A10*E$8</f>
        <v>225000</v>
      </c>
      <c r="F10" s="42">
        <f>$A10*F$8</f>
        <v>300000</v>
      </c>
      <c r="G10" s="42">
        <f>$A10*G$8</f>
        <v>400000</v>
      </c>
      <c r="H10" s="42">
        <f>$A10*H$8</f>
        <v>500000</v>
      </c>
    </row>
    <row r="11">
      <c r="A11" s="18" t="n">
        <v>5000</v>
      </c>
      <c r="B11" s="42">
        <f>$A11*B$8</f>
        <v>100000</v>
      </c>
      <c r="C11" s="42">
        <f>$A11*C$8</f>
        <v>200000</v>
      </c>
      <c r="D11" s="42">
        <f>$A11*D$8</f>
        <v>300000</v>
      </c>
      <c r="E11" s="42">
        <f>$A11*E$8</f>
        <v>450000</v>
      </c>
      <c r="F11" s="42">
        <f>$A11*F$8</f>
        <v>600000</v>
      </c>
      <c r="G11" s="42">
        <f>$A11*G$8</f>
        <v>800000</v>
      </c>
      <c r="H11" s="42">
        <f>$A11*H$8</f>
        <v>1000000</v>
      </c>
    </row>
    <row r="12">
      <c r="A12" s="18" t="n">
        <v>10000</v>
      </c>
      <c r="B12" s="42">
        <f>$A12*B$8</f>
        <v>200000</v>
      </c>
      <c r="C12" s="42">
        <f>$A12*C$8</f>
        <v>400000</v>
      </c>
      <c r="D12" s="42">
        <f>$A12*D$8</f>
        <v>600000</v>
      </c>
      <c r="E12" s="42">
        <f>$A12*E$8</f>
        <v>900000</v>
      </c>
      <c r="F12" s="42">
        <f>$A12*F$8</f>
        <v>1200000</v>
      </c>
      <c r="G12" s="42">
        <f>$A12*G$8</f>
        <v>1600000</v>
      </c>
      <c r="H12" s="42">
        <f>$A12*H$8</f>
        <v>2000000</v>
      </c>
    </row>
    <row r="13">
      <c r="A13" s="18" t="n">
        <v>20000</v>
      </c>
      <c r="B13" s="42">
        <f>$A13*B$8</f>
        <v>400000</v>
      </c>
      <c r="C13" s="42">
        <f>$A13*C$8</f>
        <v>800000</v>
      </c>
      <c r="D13" s="42">
        <f>$A13*D$8</f>
        <v>1200000</v>
      </c>
      <c r="E13" s="42">
        <f>$A13*E$8</f>
        <v>1800000</v>
      </c>
      <c r="F13" s="42">
        <f>$A13*F$8</f>
        <v>2400000</v>
      </c>
      <c r="G13" s="42">
        <f>$A13*G$8</f>
        <v>3200000</v>
      </c>
      <c r="H13" s="42">
        <f>$A13*H$8</f>
        <v>4000000</v>
      </c>
    </row>
    <row r="14">
      <c r="A14" s="18" t="n">
        <v>40000</v>
      </c>
      <c r="B14" s="42">
        <f>$A14*B$8</f>
        <v>800000</v>
      </c>
      <c r="C14" s="42">
        <f>$A14*C$8</f>
        <v>1600000</v>
      </c>
      <c r="D14" s="42">
        <f>$A14*D$8</f>
        <v>2400000</v>
      </c>
      <c r="E14" s="42">
        <f>$A14*E$8</f>
        <v>3600000</v>
      </c>
      <c r="F14" s="42">
        <f>$A14*F$8</f>
        <v>4800000</v>
      </c>
      <c r="G14" s="42">
        <f>$A14*G$8</f>
        <v>6400000</v>
      </c>
      <c r="H14" s="42">
        <f>$A14*H$8</f>
        <v>8000000</v>
      </c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8" t="inlineStr">
        <is>
          <t>Read: at $60 per member the platform needs about 5,000 paying or covered members to cover $300k of costs; at $120 it needs 2,500. The old model sat near $22–30 per member; B2B seats, plans and event fees are what lift it.</t>
        </is>
      </c>
      <c r="B16" s="7" t="n"/>
      <c r="C16" s="7" t="n"/>
      <c r="D16" s="7" t="n"/>
      <c r="E16" s="7" t="n"/>
      <c r="F16" s="7" t="n"/>
      <c r="G16" s="7" t="n"/>
      <c r="H16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  <col width="60" customWidth="1" min="4" max="4"/>
  </cols>
  <sheetData>
    <row r="1">
      <c r="A1" s="6" t="inlineStr">
        <is>
          <t>Comps — what others charge and what they reach</t>
        </is>
      </c>
      <c r="B1" s="7" t="n"/>
      <c r="C1" s="7" t="n"/>
      <c r="D1" s="7" t="n"/>
    </row>
    <row r="2">
      <c r="A2" s="7" t="n"/>
      <c r="B2" s="7" t="n"/>
      <c r="C2" s="7" t="n"/>
      <c r="D2" s="7" t="n"/>
    </row>
    <row r="3">
      <c r="A3" s="17" t="inlineStr">
        <is>
          <t>Platform</t>
        </is>
      </c>
      <c r="B3" s="17" t="inlineStr">
        <is>
          <t>Price / take</t>
        </is>
      </c>
      <c r="C3" s="17" t="inlineStr">
        <is>
          <t>Scale</t>
        </is>
      </c>
      <c r="D3" s="17" t="inlineStr">
        <is>
          <t>Source (verify before quoting)</t>
        </is>
      </c>
    </row>
    <row r="4">
      <c r="A4" s="11" t="inlineStr">
        <is>
          <t>Skool</t>
        </is>
      </c>
      <c r="B4" s="11" t="inlineStr">
        <is>
          <t>$99/mo per community (or $9/mo + 10%), 2.9% processing</t>
        </is>
      </c>
      <c r="C4" s="11" t="inlineStr">
        <is>
          <t>170k+ communities claimed ⚠</t>
        </is>
      </c>
      <c r="D4" s="11" t="inlineStr">
        <is>
          <t>skool.com/pricing; partner-landscape.md §4</t>
        </is>
      </c>
    </row>
    <row r="5">
      <c r="A5" s="11" t="inlineStr">
        <is>
          <t>Circle</t>
        </is>
      </c>
      <c r="B5" s="11" t="inlineStr">
        <is>
          <t>$89–$219/mo per community + 1–2%</t>
        </is>
      </c>
      <c r="C5" s="11" t="inlineStr">
        <is>
          <t>—</t>
        </is>
      </c>
      <c r="D5" s="11" t="inlineStr">
        <is>
          <t>circle.so/pricing</t>
        </is>
      </c>
    </row>
    <row r="6">
      <c r="A6" s="11" t="inlineStr">
        <is>
          <t>Mighty Networks</t>
        </is>
      </c>
      <c r="B6" s="11" t="inlineStr">
        <is>
          <t>$79–$179/mo per community + 1–2%</t>
        </is>
      </c>
      <c r="C6" s="11" t="inlineStr">
        <is>
          <t>—</t>
        </is>
      </c>
      <c r="D6" s="11" t="inlineStr">
        <is>
          <t>mightynetworks.com/pricing</t>
        </is>
      </c>
    </row>
    <row r="7">
      <c r="A7" s="11" t="inlineStr">
        <is>
          <t>Patreon</t>
        </is>
      </c>
      <c r="B7" s="11" t="inlineStr">
        <is>
          <t>10% of creator earnings (new creators) + processing</t>
        </is>
      </c>
      <c r="C7" s="11" t="inlineStr">
        <is>
          <t>$8B+ paid out to creators over 13 years ⚠</t>
        </is>
      </c>
      <c r="D7" s="11" t="inlineStr">
        <is>
          <t>patreon.com/pricing; partner-landscape.md §4</t>
        </is>
      </c>
    </row>
    <row r="8">
      <c r="A8" s="11" t="inlineStr">
        <is>
          <t>Substack</t>
        </is>
      </c>
      <c r="B8" s="11" t="inlineStr">
        <is>
          <t>10% + processing</t>
        </is>
      </c>
      <c r="C8" s="11" t="inlineStr">
        <is>
          <t>~35k+ paying writers ⚠</t>
        </is>
      </c>
      <c r="D8" s="11" t="inlineStr">
        <is>
          <t>substack.com</t>
        </is>
      </c>
    </row>
    <row r="9">
      <c r="A9" s="11" t="inlineStr">
        <is>
          <t>Kickstarter</t>
        </is>
      </c>
      <c r="B9" s="11" t="inlineStr">
        <is>
          <t>5% + 3–5% processing</t>
        </is>
      </c>
      <c r="C9" s="11" t="inlineStr">
        <is>
          <t>creative-category pledges</t>
        </is>
      </c>
      <c r="D9" s="11" t="inlineStr">
        <is>
          <t>kickstarter.com/help</t>
        </is>
      </c>
    </row>
    <row r="10">
      <c r="A10" s="11" t="inlineStr">
        <is>
          <t>Eventbrite</t>
        </is>
      </c>
      <c r="B10" s="11" t="inlineStr">
        <is>
          <t>3.7% + $1.79 per paid ticket</t>
        </is>
      </c>
      <c r="C10" s="11" t="inlineStr">
        <is>
          <t>—</t>
        </is>
      </c>
      <c r="D10" s="11" t="inlineStr">
        <is>
          <t>eventbrite.com/organizer/pricing</t>
        </is>
      </c>
    </row>
    <row r="11">
      <c r="A11" s="11" t="inlineStr">
        <is>
          <t>Hope*Writers</t>
        </is>
      </c>
      <c r="B11" s="11" t="inlineStr">
        <is>
          <t>$47/mo membership</t>
        </is>
      </c>
      <c r="C11" s="11" t="inlineStr">
        <is>
          <t>3,200+ paying members ⚠ (~$1.8M/yr)</t>
        </is>
      </c>
      <c r="D11" s="11" t="inlineStr">
        <is>
          <t>partner-landscape.md §6a</t>
        </is>
      </c>
    </row>
    <row r="12">
      <c r="A12" s="11" t="inlineStr">
        <is>
          <t>ACFW</t>
        </is>
      </c>
      <c r="B12" s="11" t="inlineStr">
        <is>
          <t>$75 join + $49/yr</t>
        </is>
      </c>
      <c r="C12" s="11" t="inlineStr">
        <is>
          <t>~3,000 members, 31 chapters</t>
        </is>
      </c>
      <c r="D12" s="11" t="inlineStr">
        <is>
          <t>partner-landscape.md §6a</t>
        </is>
      </c>
    </row>
    <row r="13">
      <c r="A13" s="11" t="inlineStr">
        <is>
          <t>Word Weavers</t>
        </is>
      </c>
      <c r="B13" s="11" t="inlineStr">
        <is>
          <t>$55/yr</t>
        </is>
      </c>
      <c r="C13" s="11" t="inlineStr">
        <is>
          <t>1,200 writers, 30+ chapters, $212k/yr budget</t>
        </is>
      </c>
      <c r="D13" s="11" t="inlineStr">
        <is>
          <t>partner-landscape.md §6a</t>
        </is>
      </c>
    </row>
    <row r="14">
      <c r="A14" s="11" t="inlineStr">
        <is>
          <t>Realm Makers</t>
        </is>
      </c>
      <c r="B14" s="11" t="inlineStr">
        <is>
          <t>$7.99–$11.99/mo (Mighty Networks)</t>
        </is>
      </c>
      <c r="C14" s="11" t="inlineStr">
        <is>
          <t>350 at conference + online</t>
        </is>
      </c>
      <c r="D14" s="11" t="inlineStr">
        <is>
          <t>partner-landscape.md §6a</t>
        </is>
      </c>
    </row>
    <row r="15">
      <c r="A15" s="11" t="inlineStr">
        <is>
          <t>theCreative.exchange (this model)</t>
        </is>
      </c>
      <c r="B15" s="11" t="inlineStr">
        <is>
          <t>$10/mo seat; 10% of backings and classes; 5% on gifts; PROPOSED $50 host plan, $79 partner plan, 5% tickets</t>
        </is>
      </c>
      <c r="C15" s="11" t="inlineStr">
        <is>
          <t>Combined sheet</t>
        </is>
      </c>
      <c r="D15" s="11" t="inlineStr">
        <is>
          <t>claims.md; Business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2026-09-30T16:18:47Z</dcterms:created>
  <dcterms:modified xsi:type="dcterms:W3CDTF">2026-09-30T16:57:12Z</dcterms:modified>
</cp:coreProperties>
</file>