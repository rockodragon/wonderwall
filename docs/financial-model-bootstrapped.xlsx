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puts" sheetId="2" state="visible" r:id="rId2"/>
    <sheet name="Lean" sheetId="3" state="visible" r:id="rId3"/>
    <sheet name="Moderate" sheetId="4" state="visible" r:id="rId4"/>
    <sheet name="Push"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7">
    <font>
      <name val="Calibri"/>
      <family val="2"/>
      <color theme="1"/>
      <sz val="11"/>
      <scheme val="minor"/>
    </font>
    <font>
      <name val="Arial"/>
      <b val="1"/>
      <sz val="12"/>
    </font>
    <font>
      <name val="Arial"/>
      <i val="1"/>
      <color rgb="00666666"/>
      <sz val="9"/>
    </font>
    <font>
      <name val="Arial"/>
      <sz val="10"/>
    </font>
    <font>
      <name val="Arial"/>
      <color rgb="000000FF"/>
      <sz val="10"/>
    </font>
    <font>
      <name val="Arial"/>
      <b val="1"/>
      <sz val="10"/>
    </font>
    <font>
      <name val="Arial"/>
      <color rgb="00008000"/>
      <sz val="10"/>
    </font>
  </fonts>
  <fills count="4">
    <fill>
      <patternFill/>
    </fill>
    <fill>
      <patternFill patternType="gray125"/>
    </fill>
    <fill>
      <patternFill patternType="solid">
        <fgColor rgb="00FFFF00"/>
      </patternFill>
    </fill>
    <fill>
      <patternFill patternType="solid">
        <fgColor rgb="00DDEBF7"/>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5" fillId="3" borderId="0" applyAlignment="1" pivotButton="0" quotePrefix="0" xfId="0">
      <alignment horizontal="center"/>
    </xf>
    <xf numFmtId="0" fontId="3" fillId="0" borderId="0" pivotButton="0" quotePrefix="0" xfId="0"/>
    <xf numFmtId="164" fontId="6" fillId="0" borderId="0" pivotButton="0" quotePrefix="0" xfId="0"/>
    <xf numFmtId="166" fontId="6" fillId="0" borderId="0" pivotButton="0" quotePrefix="0" xfId="0"/>
    <xf numFmtId="2" fontId="6" fillId="0" borderId="0" pivotButton="0" quotePrefix="0" xfId="0"/>
    <xf numFmtId="165" fontId="6" fillId="0" borderId="0" pivotButton="0" quotePrefix="0" xfId="0"/>
    <xf numFmtId="164" fontId="5" fillId="0" borderId="0" pivotButton="0" quotePrefix="0" xfId="0"/>
    <xf numFmtId="164" fontId="4" fillId="2" borderId="0" pivotButton="0" quotePrefix="0" xfId="0"/>
    <xf numFmtId="165" fontId="4" fillId="2" borderId="0" pivotButton="0" quotePrefix="0" xfId="0"/>
    <xf numFmtId="166" fontId="4" fillId="2" borderId="0" pivotButton="0" quotePrefix="0" xfId="0"/>
    <xf numFmtId="0" fontId="5" fillId="3" borderId="0" pivotButton="0" quotePrefix="0" xfId="0"/>
    <xf numFmtId="2" fontId="4" fillId="2" borderId="0" pivotButton="0" quotePrefix="0" xfId="0"/>
    <xf numFmtId="166" fontId="3" fillId="0" borderId="0" pivotButton="0" quotePrefix="0" xfId="0"/>
    <xf numFmtId="166" fontId="5" fillId="0" borderId="0" pivotButton="0" quotePrefix="0" xfId="0"/>
    <xf numFmtId="164" fontId="3"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66" customWidth="1" min="1" max="1"/>
    <col width="14" customWidth="1" min="2" max="2"/>
    <col width="14" customWidth="1" min="3" max="3"/>
    <col width="14" customWidth="1" min="4" max="4"/>
  </cols>
  <sheetData>
    <row r="1">
      <c r="A1" s="1" t="inlineStr">
        <is>
          <t>Bootstrapped pathway: $10k to start, no salaries until revenue clears the threshold, then a share of revenue to the founders</t>
        </is>
      </c>
    </row>
    <row r="2">
      <c r="A2" s="2" t="inlineStr">
        <is>
          <t>Three marketing levels side by side. Change the yellow cells on Inputs; everything here recalculates. Month 1 = November 2026.</t>
        </is>
      </c>
    </row>
    <row r="4">
      <c r="A4" s="3" t="inlineStr"/>
      <c r="B4" s="4" t="inlineStr">
        <is>
          <t>Lean</t>
        </is>
      </c>
      <c r="C4" s="4" t="inlineStr">
        <is>
          <t>Moderate</t>
        </is>
      </c>
      <c r="D4" s="4" t="inlineStr">
        <is>
          <t>Push</t>
        </is>
      </c>
    </row>
    <row r="5">
      <c r="A5" s="1" t="inlineStr">
        <is>
          <t>MARKETING INPUTS (from Inputs)</t>
        </is>
      </c>
    </row>
    <row r="6">
      <c r="A6" s="5" t="inlineStr">
        <is>
          <t>Paid acquisition, $/month</t>
        </is>
      </c>
      <c r="B6" s="6">
        <f>Inputs!$B$37</f>
        <v>0</v>
      </c>
      <c r="C6" s="6">
        <f>Inputs!$C$37</f>
        <v>300</v>
      </c>
      <c r="D6" s="6">
        <f>Inputs!$D$37</f>
        <v>800</v>
      </c>
    </row>
    <row r="7">
      <c r="A7" s="5" t="inlineStr">
        <is>
          <t>Organic adds per month</t>
        </is>
      </c>
      <c r="B7" s="7">
        <f>Inputs!$B$36</f>
        <v>3</v>
      </c>
      <c r="C7" s="7">
        <f>Inputs!$C$36</f>
        <v>6</v>
      </c>
      <c r="D7" s="7">
        <f>Inputs!$D$36</f>
        <v>10</v>
      </c>
    </row>
    <row r="8">
      <c r="A8" s="5" t="inlineStr">
        <is>
          <t>Gatherings per month</t>
        </is>
      </c>
      <c r="B8" s="7">
        <f>Inputs!$B$39</f>
        <v>1</v>
      </c>
      <c r="C8" s="7">
        <f>Inputs!$C$39</f>
        <v>2</v>
      </c>
      <c r="D8" s="7">
        <f>Inputs!$D$39</f>
        <v>3</v>
      </c>
    </row>
    <row r="9">
      <c r="A9" s="5" t="inlineStr">
        <is>
          <t>Organization packs sold per month</t>
        </is>
      </c>
      <c r="B9" s="8">
        <f>Inputs!$B$44</f>
        <v>0.25</v>
      </c>
      <c r="C9" s="8">
        <f>Inputs!$C$44</f>
        <v>0.5</v>
      </c>
      <c r="D9" s="8">
        <f>Inputs!$D$44</f>
        <v>1</v>
      </c>
    </row>
    <row r="10">
      <c r="A10" s="5" t="inlineStr">
        <is>
          <t>November 6 budget</t>
        </is>
      </c>
      <c r="B10" s="6">
        <f>Inputs!$B$42</f>
        <v>1500</v>
      </c>
      <c r="C10" s="6">
        <f>Inputs!$C$42</f>
        <v>3000</v>
      </c>
      <c r="D10" s="6">
        <f>Inputs!$D$42</f>
        <v>6000</v>
      </c>
    </row>
    <row r="12">
      <c r="A12" s="1" t="inlineStr">
        <is>
          <t>RESULTS</t>
        </is>
      </c>
    </row>
    <row r="13">
      <c r="A13" s="5" t="inlineStr">
        <is>
          <t>Year 1 revenue</t>
        </is>
      </c>
      <c r="B13" s="6">
        <f>SUM(Lean!C23:N23)</f>
        <v>16272.409092945169</v>
      </c>
      <c r="C13" s="6">
        <f>SUM(Moderate!C23:N23)</f>
        <v>35050.310076787944</v>
      </c>
      <c r="D13" s="6">
        <f>SUM(Push!C23:N23)</f>
        <v>71784.42553564823</v>
      </c>
    </row>
    <row r="14">
      <c r="A14" s="5" t="inlineStr">
        <is>
          <t>Year 2 revenue</t>
        </is>
      </c>
      <c r="B14" s="6">
        <f>SUM(Lean!O23:Z23)</f>
        <v>27283.902103985416</v>
      </c>
      <c r="C14" s="6">
        <f>SUM(Moderate!O23:Z23)</f>
        <v>69450.3586767722</v>
      </c>
      <c r="D14" s="6">
        <f>SUM(Push!O23:Z23)</f>
        <v>151776.25106266962</v>
      </c>
    </row>
    <row r="15">
      <c r="A15" s="5" t="inlineStr">
        <is>
          <t>Year 3 revenue</t>
        </is>
      </c>
      <c r="B15" s="6">
        <f>SUM(Lean!AA23:AL23)</f>
        <v>39464.02618603217</v>
      </c>
      <c r="C15" s="6">
        <f>SUM(Moderate!AA23:AL23)</f>
        <v>101010.65244011591</v>
      </c>
      <c r="D15" s="6">
        <f>SUM(Push!AA23:AL23)</f>
        <v>221274.44907342797</v>
      </c>
    </row>
    <row r="16">
      <c r="A16" s="5" t="inlineStr">
        <is>
          <t>Year 1 marketing spend</t>
        </is>
      </c>
      <c r="B16" s="6">
        <f>SUM(Lean!C36:N36)</f>
        <v>3300</v>
      </c>
      <c r="C16" s="6">
        <f>SUM(Moderate!C36:N36)</f>
        <v>11400</v>
      </c>
      <c r="D16" s="6">
        <f>SUM(Push!C36:N36)</f>
        <v>27600</v>
      </c>
    </row>
    <row r="17">
      <c r="A17" s="5" t="inlineStr">
        <is>
          <t>Year 2 marketing spend</t>
        </is>
      </c>
      <c r="B17" s="6">
        <f>SUM(Lean!O36:Z36)</f>
        <v>1800</v>
      </c>
      <c r="C17" s="6">
        <f>SUM(Moderate!O36:Z36)</f>
        <v>8400</v>
      </c>
      <c r="D17" s="6">
        <f>SUM(Push!O36:Z36)</f>
        <v>18600</v>
      </c>
    </row>
    <row r="18">
      <c r="A18" s="5" t="inlineStr">
        <is>
          <t>Year 3 marketing spend</t>
        </is>
      </c>
      <c r="B18" s="6">
        <f>SUM(Lean!AA36:AL36)</f>
        <v>1800</v>
      </c>
      <c r="C18" s="6">
        <f>SUM(Moderate!AA36:AL36)</f>
        <v>8400</v>
      </c>
      <c r="D18" s="6">
        <f>SUM(Push!AA36:AL36)</f>
        <v>18600</v>
      </c>
    </row>
    <row r="19">
      <c r="A19" s="5" t="inlineStr">
        <is>
          <t>Year 1 marketing as a share of revenue</t>
        </is>
      </c>
      <c r="B19" s="9">
        <f>IF(SUM(Lean!C23:N23)=0,0,SUM(Lean!C36:N36)/SUM(Lean!C23:N23))</f>
        <v>0.202797261373591</v>
      </c>
      <c r="C19" s="9">
        <f>IF(SUM(Moderate!C23:N23)=0,0,SUM(Moderate!C36:N36)/SUM(Moderate!C23:N23))</f>
        <v>0.32524676600649094</v>
      </c>
      <c r="D19" s="9">
        <f>IF(SUM(Push!C23:N23)=0,0,SUM(Push!C36:N36)/SUM(Push!C23:N23))</f>
        <v>0.38448451448975945</v>
      </c>
    </row>
    <row r="20">
      <c r="A20" s="5" t="inlineStr">
        <is>
          <t>Year 2 marketing as a share of revenue</t>
        </is>
      </c>
      <c r="B20" s="9">
        <f>IF(SUM(Lean!O23:Z23)=0,0,SUM(Lean!O36:Z36)/SUM(Lean!O23:Z23))</f>
        <v>0.06597296798455637</v>
      </c>
      <c r="C20" s="9">
        <f>IF(SUM(Moderate!O23:Z23)=0,0,SUM(Moderate!O36:Z36)/SUM(Moderate!O23:Z23))</f>
        <v>0.12094969932544633</v>
      </c>
      <c r="D20" s="9">
        <f>IF(SUM(Push!O23:Z23)=0,0,SUM(Push!O36:Z36)/SUM(Push!O23:Z23))</f>
        <v>0.12254881689178047</v>
      </c>
    </row>
    <row r="21">
      <c r="A21" s="5" t="inlineStr">
        <is>
          <t>Year 3 marketing as a share of revenue</t>
        </is>
      </c>
      <c r="B21" s="9">
        <f>IF(SUM(Lean!AA23:AL23)=0,0,SUM(Lean!AA36:AL36)/SUM(Lean!AA23:AL23))</f>
        <v>0.04561115968033411</v>
      </c>
      <c r="C21" s="9">
        <f>IF(SUM(Moderate!AA23:AL23)=0,0,SUM(Moderate!AA36:AL36)/SUM(Moderate!AA23:AL23))</f>
        <v>0.08315954601896997</v>
      </c>
      <c r="D21" s="9">
        <f>IF(SUM(Push!AA23:AL23)=0,0,SUM(Push!AA36:AL36)/SUM(Push!AA23:AL23))</f>
        <v>0.08405850778472734</v>
      </c>
    </row>
    <row r="22">
      <c r="A22" s="5" t="inlineStr">
        <is>
          <t>Monthly revenue, month 12</t>
        </is>
      </c>
      <c r="B22" s="6">
        <f>Lean!N23</f>
        <v>1356.3172445480875</v>
      </c>
      <c r="C22" s="6">
        <f>Moderate!N23</f>
        <v>3536.9182450477956</v>
      </c>
      <c r="D22" s="6">
        <f>Push!N23</f>
        <v>7778.378591680983</v>
      </c>
    </row>
    <row r="23">
      <c r="A23" s="5" t="inlineStr">
        <is>
          <t>Monthly revenue, month 24</t>
        </is>
      </c>
      <c r="B23" s="6">
        <f>Lean!Z23</f>
        <v>2404.6501691670956</v>
      </c>
      <c r="C23" s="6">
        <f>Moderate!Z23</f>
        <v>6360.927770508451</v>
      </c>
      <c r="D23" s="6">
        <f>Push!Z23</f>
        <v>14070.659486649964</v>
      </c>
    </row>
    <row r="24">
      <c r="A24" s="3" t="inlineStr">
        <is>
          <t>Monthly revenue, month 36</t>
        </is>
      </c>
      <c r="B24" s="10">
        <f>Lean!AL23</f>
        <v>3394.7112149599147</v>
      </c>
      <c r="C24" s="10">
        <f>Moderate!AL23</f>
        <v>8845.711715659505</v>
      </c>
      <c r="D24" s="10">
        <f>Push!AL23</f>
        <v>19487.24353592538</v>
      </c>
    </row>
    <row r="25">
      <c r="A25" s="5" t="inlineStr">
        <is>
          <t>Recurring monthly revenue, month 12</t>
        </is>
      </c>
      <c r="B25" s="6">
        <f>Lean!N22</f>
        <v>606.3172445480875</v>
      </c>
      <c r="C25" s="6">
        <f>Moderate!N22</f>
        <v>2036.918245047796</v>
      </c>
      <c r="D25" s="6">
        <f>Push!N22</f>
        <v>4778.378591680983</v>
      </c>
    </row>
    <row r="26">
      <c r="A26" s="5" t="inlineStr">
        <is>
          <t>Recurring monthly revenue, month 36</t>
        </is>
      </c>
      <c r="B26" s="6">
        <f>Lean!AL22</f>
        <v>1144.7112149599147</v>
      </c>
      <c r="C26" s="6">
        <f>Moderate!AL22</f>
        <v>4345.711715659505</v>
      </c>
      <c r="D26" s="6">
        <f>Push!AL22</f>
        <v>10487.243535925381</v>
      </c>
    </row>
    <row r="27">
      <c r="A27" s="5" t="inlineStr">
        <is>
          <t>Paying individuals, month 36</t>
        </is>
      </c>
      <c r="B27" s="7">
        <f>Lean!AL10</f>
        <v>73.27778704999238</v>
      </c>
      <c r="C27" s="7">
        <f>Moderate!AL10</f>
        <v>330.1528317553129</v>
      </c>
      <c r="D27" s="7">
        <f>Push!AL10</f>
        <v>820.6467442790519</v>
      </c>
    </row>
    <row r="28">
      <c r="A28" s="5" t="inlineStr">
        <is>
          <t>Members incl. organization seats, month 36</t>
        </is>
      </c>
      <c r="B28" s="7">
        <f>Lean!AL13</f>
        <v>343.2777870499924</v>
      </c>
      <c r="C28" s="7">
        <f>Moderate!AL13</f>
        <v>870.152831755313</v>
      </c>
      <c r="D28" s="7">
        <f>Push!AL13</f>
        <v>1900.6467442790517</v>
      </c>
    </row>
    <row r="30">
      <c r="A30" s="1" t="inlineStr">
        <is>
          <t>CASH</t>
        </is>
      </c>
    </row>
    <row r="31">
      <c r="A31" s="3" t="inlineStr">
        <is>
          <t>Lowest cash balance</t>
        </is>
      </c>
      <c r="B31" s="10">
        <f>MIN(Lean!C43:AL43)</f>
        <v>10373.3984</v>
      </c>
      <c r="C31" s="10">
        <f>MIN(Moderate!C43:AL43)</f>
        <v>9204.67497142857</v>
      </c>
      <c r="D31" s="10">
        <f>MIN(Push!C43:AL43)</f>
        <v>6335.074853759999</v>
      </c>
    </row>
    <row r="32">
      <c r="A32" s="5" t="inlineStr">
        <is>
          <t>Month of the lowest balance</t>
        </is>
      </c>
      <c r="B32" s="7">
        <f>MATCH(MIN(Lean!C43:AL43),Lean!C43:AL43,0)</f>
        <v>1</v>
      </c>
      <c r="C32" s="7">
        <f>MATCH(MIN(Moderate!C43:AL43),Moderate!C43:AL43,0)</f>
        <v>1</v>
      </c>
      <c r="D32" s="7">
        <f>MATCH(MIN(Push!C43:AL43),Push!C43:AL43,0)</f>
        <v>3</v>
      </c>
    </row>
    <row r="33">
      <c r="A33" s="5" t="inlineStr">
        <is>
          <t>Months with cash below zero (the plan is broken if this is not 0)</t>
        </is>
      </c>
      <c r="B33" s="7">
        <f>COUNTIF(Lean!C43:AL43,"&lt;0")</f>
        <v>0</v>
      </c>
      <c r="C33" s="7">
        <f>COUNTIF(Moderate!C43:AL43,"&lt;0")</f>
        <v>0</v>
      </c>
      <c r="D33" s="7">
        <f>COUNTIF(Push!C43:AL43,"&lt;0")</f>
        <v>0</v>
      </c>
    </row>
    <row r="34">
      <c r="A34" s="3" t="inlineStr">
        <is>
          <t>Cash at month 36</t>
        </is>
      </c>
      <c r="B34" s="10">
        <f>Lean!AL43</f>
        <v>59542.40093924819</v>
      </c>
      <c r="C34" s="10">
        <f>Moderate!AL43</f>
        <v>106186.47488944493</v>
      </c>
      <c r="D34" s="10">
        <f>Push!AL43</f>
        <v>227706.2819471908</v>
      </c>
    </row>
    <row r="35">
      <c r="A35" s="5" t="inlineStr">
        <is>
          <t>First month operating cash flow is positive</t>
        </is>
      </c>
      <c r="B35" s="7">
        <f>IFERROR(MATCH(TRUE,INDEX(Lean!C39:AL39&gt;0,0),0),"never")</f>
        <v>1</v>
      </c>
      <c r="C35" s="7">
        <f>IFERROR(MATCH(TRUE,INDEX(Moderate!C39:AL39&gt;0,0),0),"never")</f>
        <v>2</v>
      </c>
      <c r="D35" s="7">
        <f>IFERROR(MATCH(TRUE,INDEX(Push!C39:AL39&gt;0,0),0),"never")</f>
        <v>2</v>
      </c>
    </row>
    <row r="37">
      <c r="A37" s="1" t="inlineStr">
        <is>
          <t>FOUNDERS</t>
        </is>
      </c>
    </row>
    <row r="38">
      <c r="A38" s="5" t="inlineStr">
        <is>
          <t>First month founders are paid</t>
        </is>
      </c>
      <c r="B38" s="7">
        <f>IFERROR(MATCH(TRUE,INDEX(Lean!C40:AL40&gt;0,0),0),"never")</f>
        <v>29</v>
      </c>
      <c r="C38" s="7">
        <f>IFERROR(MATCH(TRUE,INDEX(Moderate!C40:AL40&gt;0,0),0),"never")</f>
        <v>5</v>
      </c>
      <c r="D38" s="7">
        <f>IFERROR(MATCH(TRUE,INDEX(Push!C40:AL40&gt;0,0),0),"never")</f>
        <v>2</v>
      </c>
    </row>
    <row r="39">
      <c r="A39" s="5" t="inlineStr">
        <is>
          <t>Per founder per month, month 12</t>
        </is>
      </c>
      <c r="B39" s="6">
        <f>Lean!N41</f>
        <v>0.0</v>
      </c>
      <c r="C39" s="6">
        <f>Moderate!N41</f>
        <v>530.5377367571693</v>
      </c>
      <c r="D39" s="6">
        <f>Push!N41</f>
        <v>1166.7567887521475</v>
      </c>
    </row>
    <row r="40">
      <c r="A40" s="5" t="inlineStr">
        <is>
          <t>Per founder per month, month 24</t>
        </is>
      </c>
      <c r="B40" s="6">
        <f>Lean!Z41</f>
        <v>0.0</v>
      </c>
      <c r="C40" s="6">
        <f>Moderate!Z41</f>
        <v>954.1391655762677</v>
      </c>
      <c r="D40" s="6">
        <f>Push!Z41</f>
        <v>2110.5989229974944</v>
      </c>
    </row>
    <row r="41">
      <c r="A41" s="3" t="inlineStr">
        <is>
          <t>Per founder per month, month 36</t>
        </is>
      </c>
      <c r="B41" s="10">
        <f>Lean!AL41</f>
        <v>509.2066822439872</v>
      </c>
      <c r="C41" s="10">
        <f>Moderate!AL41</f>
        <v>1326.8567573489256</v>
      </c>
      <c r="D41" s="10">
        <f>Push!AL41</f>
        <v>2923.0865303888068</v>
      </c>
    </row>
    <row r="42">
      <c r="A42" s="5" t="inlineStr">
        <is>
          <t>Cumulative draw per founder over 36 months</t>
        </is>
      </c>
      <c r="B42" s="6">
        <f>Lean!AL44</f>
        <v>3994.4767238636423</v>
      </c>
      <c r="C42" s="6">
        <f>Moderate!AL44</f>
        <v>29237.51478879541</v>
      </c>
      <c r="D42" s="6">
        <f>Push!AL44</f>
        <v>65875.67685076188</v>
      </c>
    </row>
    <row r="44">
      <c r="A44" s="2" t="inlineStr">
        <is>
          <t>Reading it: the founders keep their day jobs; the company pays for itself from month one on the Lean level and the distribution is beer money until organization packs sell. Revenue per member and organic adds are the two inputs that matter; test both in the first 90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78" customWidth="1" min="1" max="1"/>
    <col width="12" customWidth="1" min="2" max="2"/>
    <col width="12" customWidth="1" min="3" max="3"/>
    <col width="12" customWidth="1" min="4" max="4"/>
    <col width="70" customWidth="1" min="5" max="5"/>
  </cols>
  <sheetData>
    <row r="1">
      <c r="A1" s="1" t="inlineStr">
        <is>
          <t>Bootstrapped model inputs (yellow cells are the variables; blue = hardcoded input)</t>
        </is>
      </c>
    </row>
    <row r="2">
      <c r="A2" s="2" t="inlineStr">
        <is>
          <t>Month 1 = November 2026. Three marketing levels run side by side on their own sheets; single-value inputs apply to all three.</t>
        </is>
      </c>
    </row>
    <row r="4">
      <c r="A4" s="1" t="inlineStr">
        <is>
          <t>CASH AND FOUNDERS</t>
        </is>
      </c>
    </row>
    <row r="5">
      <c r="A5" s="5" t="inlineStr">
        <is>
          <t>Starting cash (the founders' own money or one small check)</t>
        </is>
      </c>
      <c r="B5" s="11" t="n">
        <v>10000</v>
      </c>
    </row>
    <row r="6">
      <c r="A6" s="5" t="inlineStr">
        <is>
          <t>Founder distributions start when monthly revenue reaches</t>
        </is>
      </c>
      <c r="B6" s="11" t="n">
        <v>1000</v>
      </c>
      <c r="E6" s="2" t="inlineStr">
        <is>
          <t>no salaries before this</t>
        </is>
      </c>
    </row>
    <row r="7">
      <c r="A7" s="5" t="inlineStr">
        <is>
          <t>Share of monthly revenue distributed to founders once past the threshold</t>
        </is>
      </c>
      <c r="B7" s="12" t="n">
        <v>0.3</v>
      </c>
      <c r="E7" s="2" t="inlineStr">
        <is>
          <t>split evenly between the founders; applied to total revenue in the month</t>
        </is>
      </c>
    </row>
    <row r="8">
      <c r="A8" s="5" t="inlineStr">
        <is>
          <t>Threshold measured on: 1 = recurring revenue (seats, share of money moved, program fee), 2 = total revenue incl. sponsorships and pack prepayments</t>
        </is>
      </c>
      <c r="B8" s="13" t="n">
        <v>1</v>
      </c>
      <c r="E8" s="2" t="inlineStr">
        <is>
          <t>1 keeps a one-off sponsorship from triggering pay</t>
        </is>
      </c>
    </row>
    <row r="9">
      <c r="A9" s="5" t="inlineStr">
        <is>
          <t>Founders sharing the distribution</t>
        </is>
      </c>
      <c r="B9" s="13" t="n">
        <v>2</v>
      </c>
    </row>
    <row r="11">
      <c r="A11" s="1" t="inlineStr">
        <is>
          <t>REVENUE DRIVERS</t>
        </is>
      </c>
    </row>
    <row r="12">
      <c r="A12" s="5" t="inlineStr">
        <is>
          <t>Paying individuals at month 1</t>
        </is>
      </c>
      <c r="B12" s="13" t="n">
        <v>20</v>
      </c>
      <c r="E12" s="2" t="inlineStr">
        <is>
          <t>waitlist conversions at launch</t>
        </is>
      </c>
    </row>
    <row r="13">
      <c r="A13" s="5" t="inlineStr">
        <is>
          <t>Individual seat price, $/month</t>
        </is>
      </c>
      <c r="B13" s="11" t="n">
        <v>10</v>
      </c>
      <c r="E13" s="2" t="inlineStr">
        <is>
          <t>today's price</t>
        </is>
      </c>
    </row>
    <row r="14">
      <c r="A14" s="5" t="inlineStr">
        <is>
          <t>Monthly churn of paying individuals</t>
        </is>
      </c>
      <c r="B14" s="12" t="n">
        <v>0.03</v>
      </c>
      <c r="E14" s="2" t="inlineStr">
        <is>
          <t>3% a month = about 30% a year</t>
        </is>
      </c>
    </row>
    <row r="15">
      <c r="A15" s="5" t="inlineStr">
        <is>
          <t>Seats per organization pack</t>
        </is>
      </c>
      <c r="B15" s="13" t="n">
        <v>30</v>
      </c>
    </row>
    <row r="16">
      <c r="A16" s="5" t="inlineStr">
        <is>
          <t>Organization pack price per seat per year</t>
        </is>
      </c>
      <c r="B16" s="11" t="n">
        <v>100</v>
      </c>
      <c r="E16" s="2" t="inlineStr">
        <is>
          <t>a 17% discount to $10/month, paid up front; packs renew after 12 months</t>
        </is>
      </c>
    </row>
    <row r="17">
      <c r="A17" s="5" t="inlineStr">
        <is>
          <t>Money moved per member per month (backings, tickets, classes), $</t>
        </is>
      </c>
      <c r="B17" s="11" t="n">
        <v>12</v>
      </c>
      <c r="E17" s="2" t="inlineStr">
        <is>
          <t>the platform keeps the take rate below</t>
        </is>
      </c>
    </row>
    <row r="18">
      <c r="A18" s="5" t="inlineStr">
        <is>
          <t>Platform share of money moved</t>
        </is>
      </c>
      <c r="B18" s="12" t="n">
        <v>0.1</v>
      </c>
    </row>
    <row r="19">
      <c r="A19" s="5" t="inlineStr">
        <is>
          <t>Program dollars administered per month (fellowships), $</t>
        </is>
      </c>
      <c r="B19" s="11" t="n">
        <v>0</v>
      </c>
      <c r="E19" s="2" t="inlineStr">
        <is>
          <t>grant money the nonprofit partner runs through the platform; 0 until a grant lands</t>
        </is>
      </c>
    </row>
    <row r="20">
      <c r="A20" s="5" t="inlineStr">
        <is>
          <t>Administration fee on program dollars</t>
        </is>
      </c>
      <c r="B20" s="12" t="n">
        <v>0.05</v>
      </c>
    </row>
    <row r="21">
      <c r="A21" s="5" t="inlineStr">
        <is>
          <t>November 6 sponsorships collected, $ (month 1)</t>
        </is>
      </c>
      <c r="B21" s="11" t="n">
        <v>2000</v>
      </c>
    </row>
    <row r="22">
      <c r="A22" s="5" t="inlineStr">
        <is>
          <t>Other sponsorships per year, $ (spread evenly from month 7)</t>
        </is>
      </c>
      <c r="B22" s="11" t="n">
        <v>0</v>
      </c>
    </row>
    <row r="24">
      <c r="A24" s="1" t="inlineStr">
        <is>
          <t>FIXED AND VARIABLE COSTS (no people)</t>
        </is>
      </c>
    </row>
    <row r="25">
      <c r="A25" s="5" t="inlineStr">
        <is>
          <t>Hosting and tools, $/month</t>
        </is>
      </c>
      <c r="B25" s="11" t="n">
        <v>150</v>
      </c>
      <c r="E25" s="2" t="inlineStr">
        <is>
          <t>Vercel/Supabase/Stripe-class stack plus email and design tools</t>
        </is>
      </c>
    </row>
    <row r="26">
      <c r="A26" s="5" t="inlineStr">
        <is>
          <t>Payment processing absorbed, % of money moved</t>
        </is>
      </c>
      <c r="B26" s="12" t="n">
        <v>0.032</v>
      </c>
    </row>
    <row r="27">
      <c r="A27" s="5" t="inlineStr">
        <is>
          <t>Bookkeeping software and insurance, $/month</t>
        </is>
      </c>
      <c r="B27" s="11" t="n">
        <v>125</v>
      </c>
    </row>
    <row r="28">
      <c r="A28" s="5" t="inlineStr">
        <is>
          <t>Formation (Delaware C-corp, registered agent, CA qualification), $ in month 1</t>
        </is>
      </c>
      <c r="B28" s="11" t="n">
        <v>700</v>
      </c>
    </row>
    <row r="29">
      <c r="A29" s="5" t="inlineStr">
        <is>
          <t>Delaware franchise tax and annual report, $ each March (months 5, 17, 29)</t>
        </is>
      </c>
      <c r="B29" s="11" t="n">
        <v>450</v>
      </c>
    </row>
    <row r="30">
      <c r="A30" s="5" t="inlineStr">
        <is>
          <t>California minimum franchise tax, $ (months 13 and 25; year one waived)</t>
        </is>
      </c>
      <c r="B30" s="11" t="n">
        <v>800</v>
      </c>
    </row>
    <row r="31">
      <c r="A31" s="5" t="inlineStr">
        <is>
          <t>Year-end tax return, $ each March</t>
        </is>
      </c>
      <c r="B31" s="11" t="n">
        <v>800</v>
      </c>
    </row>
    <row r="32">
      <c r="A32" s="5" t="inlineStr">
        <is>
          <t>Contractors (design, QA, video), $/month</t>
        </is>
      </c>
      <c r="B32" s="11" t="n">
        <v>0</v>
      </c>
      <c r="E32" s="2" t="inlineStr">
        <is>
          <t>the founders do the work</t>
        </is>
      </c>
    </row>
    <row r="34">
      <c r="A34" s="1" t="inlineStr">
        <is>
          <t>MARKETING (back-of-napkin; one column per level)</t>
        </is>
      </c>
    </row>
    <row r="35">
      <c r="B35" s="14" t="inlineStr">
        <is>
          <t>Lean</t>
        </is>
      </c>
      <c r="C35" s="14" t="inlineStr">
        <is>
          <t>Moderate</t>
        </is>
      </c>
      <c r="D35" s="14" t="inlineStr">
        <is>
          <t>Push</t>
        </is>
      </c>
    </row>
    <row r="36">
      <c r="A36" s="5" t="inlineStr">
        <is>
          <t>Organic new paying individuals per month (word of mouth, gatherings, partners)</t>
        </is>
      </c>
      <c r="B36" s="13" t="n">
        <v>3</v>
      </c>
      <c r="C36" s="13" t="n">
        <v>6</v>
      </c>
      <c r="D36" s="13" t="n">
        <v>10</v>
      </c>
      <c r="E36" s="2" t="inlineStr">
        <is>
          <t>the number to test in the first 90 days</t>
        </is>
      </c>
    </row>
    <row r="37">
      <c r="A37" s="5" t="inlineStr">
        <is>
          <t>Paid acquisition, $/month (social ads, boosted posts, flyers)</t>
        </is>
      </c>
      <c r="B37" s="11" t="n">
        <v>0</v>
      </c>
      <c r="C37" s="11" t="n">
        <v>300</v>
      </c>
      <c r="D37" s="11" t="n">
        <v>800</v>
      </c>
    </row>
    <row r="38">
      <c r="A38" s="5" t="inlineStr">
        <is>
          <t>Cost per new paying individual from paid acquisition, $</t>
        </is>
      </c>
      <c r="B38" s="11" t="n">
        <v>40</v>
      </c>
      <c r="C38" s="11" t="n">
        <v>35</v>
      </c>
      <c r="D38" s="11" t="n">
        <v>30</v>
      </c>
      <c r="E38" s="2" t="inlineStr">
        <is>
          <t>$10/month subscriptions in niche communities run $25 to $60 per paying convert</t>
        </is>
      </c>
    </row>
    <row r="39">
      <c r="A39" s="5" t="inlineStr">
        <is>
          <t>Gatherings per month (venue, food, printing)</t>
        </is>
      </c>
      <c r="B39" s="13" t="n">
        <v>1</v>
      </c>
      <c r="C39" s="13" t="n">
        <v>2</v>
      </c>
      <c r="D39" s="13" t="n">
        <v>3</v>
      </c>
    </row>
    <row r="40">
      <c r="A40" s="5" t="inlineStr">
        <is>
          <t>Cost per gathering, $</t>
        </is>
      </c>
      <c r="B40" s="11" t="n">
        <v>150</v>
      </c>
      <c r="C40" s="11" t="n">
        <v>150</v>
      </c>
      <c r="D40" s="11" t="n">
        <v>150</v>
      </c>
    </row>
    <row r="41">
      <c r="A41" s="5" t="inlineStr">
        <is>
          <t>Content and community tools, $/month</t>
        </is>
      </c>
      <c r="B41" s="11" t="n">
        <v>0</v>
      </c>
      <c r="C41" s="11" t="n">
        <v>100</v>
      </c>
      <c r="D41" s="11" t="n">
        <v>300</v>
      </c>
      <c r="E41" s="2" t="inlineStr">
        <is>
          <t>print, small productions, email tool tier</t>
        </is>
      </c>
    </row>
    <row r="42">
      <c r="A42" s="5" t="inlineStr">
        <is>
          <t>November 6 kickoff budget, $ (month 1)</t>
        </is>
      </c>
      <c r="B42" s="11" t="n">
        <v>1500</v>
      </c>
      <c r="C42" s="11" t="n">
        <v>3000</v>
      </c>
      <c r="D42" s="11" t="n">
        <v>6000</v>
      </c>
      <c r="E42" s="2" t="inlineStr">
        <is>
          <t>bootstrapped: venue donated, volunteers</t>
        </is>
      </c>
    </row>
    <row r="43">
      <c r="A43" s="5" t="inlineStr">
        <is>
          <t>Testimonial film series, $ (month 3)</t>
        </is>
      </c>
      <c r="B43" s="11" t="n">
        <v>0</v>
      </c>
      <c r="C43" s="11" t="n">
        <v>0</v>
      </c>
      <c r="D43" s="11" t="n">
        <v>3000</v>
      </c>
    </row>
    <row r="44">
      <c r="A44" s="5" t="inlineStr">
        <is>
          <t>Organization seat packs sold per month</t>
        </is>
      </c>
      <c r="B44" s="15" t="n">
        <v>0.25</v>
      </c>
      <c r="C44" s="15" t="n">
        <v>0.5</v>
      </c>
      <c r="D44" s="15" t="n">
        <v>1</v>
      </c>
      <c r="E44" s="2" t="inlineStr">
        <is>
          <t>0.25 = one pack a quarter; each is one conversation with a church, school or organization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2" customWidth="1" min="1" max="1"/>
    <col width="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s>
  <sheetData>
    <row r="1">
      <c r="A1" s="1" t="inlineStr">
        <is>
          <t>Lean marketing level, monthly, months 1 to 36 (month 1 = November 2026)</t>
        </is>
      </c>
    </row>
    <row r="2">
      <c r="A2" s="3" t="inlineStr">
        <is>
          <t>Month</t>
        </is>
      </c>
      <c r="C2" s="4" t="n">
        <v>1</v>
      </c>
      <c r="D2" s="4" t="n">
        <v>2</v>
      </c>
      <c r="E2" s="4" t="n">
        <v>3</v>
      </c>
      <c r="F2" s="4" t="n">
        <v>4</v>
      </c>
      <c r="G2" s="4" t="n">
        <v>5</v>
      </c>
      <c r="H2" s="4" t="n">
        <v>6</v>
      </c>
      <c r="I2" s="4" t="n">
        <v>7</v>
      </c>
      <c r="J2" s="4" t="n">
        <v>8</v>
      </c>
      <c r="K2" s="4" t="n">
        <v>9</v>
      </c>
      <c r="L2" s="4" t="n">
        <v>10</v>
      </c>
      <c r="M2" s="4" t="n">
        <v>11</v>
      </c>
      <c r="N2" s="4" t="n">
        <v>12</v>
      </c>
      <c r="O2" s="4" t="n">
        <v>13</v>
      </c>
      <c r="P2" s="4" t="n">
        <v>14</v>
      </c>
      <c r="Q2" s="4" t="n">
        <v>15</v>
      </c>
      <c r="R2" s="4" t="n">
        <v>16</v>
      </c>
      <c r="S2" s="4" t="n">
        <v>17</v>
      </c>
      <c r="T2" s="4" t="n">
        <v>18</v>
      </c>
      <c r="U2" s="4" t="n">
        <v>19</v>
      </c>
      <c r="V2" s="4" t="n">
        <v>20</v>
      </c>
      <c r="W2" s="4" t="n">
        <v>21</v>
      </c>
      <c r="X2" s="4" t="n">
        <v>22</v>
      </c>
      <c r="Y2" s="4" t="n">
        <v>23</v>
      </c>
      <c r="Z2" s="4" t="n">
        <v>24</v>
      </c>
      <c r="AA2" s="4" t="n">
        <v>25</v>
      </c>
      <c r="AB2" s="4" t="n">
        <v>26</v>
      </c>
      <c r="AC2" s="4" t="n">
        <v>27</v>
      </c>
      <c r="AD2" s="4" t="n">
        <v>28</v>
      </c>
      <c r="AE2" s="4" t="n">
        <v>29</v>
      </c>
      <c r="AF2" s="4" t="n">
        <v>30</v>
      </c>
      <c r="AG2" s="4" t="n">
        <v>31</v>
      </c>
      <c r="AH2" s="4" t="n">
        <v>32</v>
      </c>
      <c r="AI2" s="4" t="n">
        <v>33</v>
      </c>
      <c r="AJ2" s="4" t="n">
        <v>34</v>
      </c>
      <c r="AK2" s="4" t="n">
        <v>35</v>
      </c>
      <c r="AL2" s="4" t="n">
        <v>36</v>
      </c>
    </row>
    <row r="3">
      <c r="A3" s="2" t="inlineStr">
        <is>
          <t>Year</t>
        </is>
      </c>
      <c r="C3" s="2" t="n">
        <v>1</v>
      </c>
      <c r="D3" s="2" t="n">
        <v>1</v>
      </c>
      <c r="E3" s="2" t="n">
        <v>1</v>
      </c>
      <c r="F3" s="2" t="n">
        <v>1</v>
      </c>
      <c r="G3" s="2" t="n">
        <v>1</v>
      </c>
      <c r="H3" s="2" t="n">
        <v>1</v>
      </c>
      <c r="I3" s="2" t="n">
        <v>1</v>
      </c>
      <c r="J3" s="2" t="n">
        <v>1</v>
      </c>
      <c r="K3" s="2" t="n">
        <v>1</v>
      </c>
      <c r="L3" s="2" t="n">
        <v>1</v>
      </c>
      <c r="M3" s="2" t="n">
        <v>1</v>
      </c>
      <c r="N3" s="2" t="n">
        <v>1</v>
      </c>
      <c r="O3" s="2" t="n">
        <v>2</v>
      </c>
      <c r="P3" s="2" t="n">
        <v>2</v>
      </c>
      <c r="Q3" s="2" t="n">
        <v>2</v>
      </c>
      <c r="R3" s="2" t="n">
        <v>2</v>
      </c>
      <c r="S3" s="2" t="n">
        <v>2</v>
      </c>
      <c r="T3" s="2" t="n">
        <v>2</v>
      </c>
      <c r="U3" s="2" t="n">
        <v>2</v>
      </c>
      <c r="V3" s="2" t="n">
        <v>2</v>
      </c>
      <c r="W3" s="2" t="n">
        <v>2</v>
      </c>
      <c r="X3" s="2" t="n">
        <v>2</v>
      </c>
      <c r="Y3" s="2" t="n">
        <v>2</v>
      </c>
      <c r="Z3" s="2" t="n">
        <v>2</v>
      </c>
      <c r="AA3" s="2" t="n">
        <v>3</v>
      </c>
      <c r="AB3" s="2" t="n">
        <v>3</v>
      </c>
      <c r="AC3" s="2" t="n">
        <v>3</v>
      </c>
      <c r="AD3" s="2" t="n">
        <v>3</v>
      </c>
      <c r="AE3" s="2" t="n">
        <v>3</v>
      </c>
      <c r="AF3" s="2" t="n">
        <v>3</v>
      </c>
      <c r="AG3" s="2" t="n">
        <v>3</v>
      </c>
      <c r="AH3" s="2" t="n">
        <v>3</v>
      </c>
      <c r="AI3" s="2" t="n">
        <v>3</v>
      </c>
      <c r="AJ3" s="2" t="n">
        <v>3</v>
      </c>
      <c r="AK3" s="2" t="n">
        <v>3</v>
      </c>
      <c r="AL3" s="2" t="n">
        <v>3</v>
      </c>
    </row>
    <row r="5">
      <c r="A5" s="1" t="inlineStr">
        <is>
          <t>MEMBERS</t>
        </is>
      </c>
    </row>
    <row r="6">
      <c r="A6" s="5" t="inlineStr">
        <is>
          <t>Paying individuals, start of month</t>
        </is>
      </c>
      <c r="C6" s="16">
        <f>Inputs!$B$12</f>
        <v>20</v>
      </c>
      <c r="D6" s="16">
        <f>C10</f>
        <v>22.4</v>
      </c>
      <c r="E6" s="16">
        <f>D10</f>
        <v>24.727999999999998</v>
      </c>
      <c r="F6" s="16">
        <f>E10</f>
        <v>26.986159999999998</v>
      </c>
      <c r="G6" s="16">
        <f>F10</f>
        <v>29.1765752</v>
      </c>
      <c r="H6" s="16">
        <f>G10</f>
        <v>31.301277944000002</v>
      </c>
      <c r="I6" s="16">
        <f>H10</f>
        <v>33.36223960568</v>
      </c>
      <c r="J6" s="16">
        <f>I10</f>
        <v>35.3613724175096</v>
      </c>
      <c r="K6" s="16">
        <f>J10</f>
        <v>37.30053124498431</v>
      </c>
      <c r="L6" s="16">
        <f>K10</f>
        <v>39.18151530763478</v>
      </c>
      <c r="M6" s="16">
        <f>L10</f>
        <v>41.00606984840574</v>
      </c>
      <c r="N6" s="16">
        <f>M10</f>
        <v>42.775887752953565</v>
      </c>
      <c r="O6" s="16">
        <f>N10</f>
        <v>44.492611120364955</v>
      </c>
      <c r="P6" s="16">
        <f>O10</f>
        <v>46.15783278675401</v>
      </c>
      <c r="Q6" s="16">
        <f>P10</f>
        <v>47.77309780315139</v>
      </c>
      <c r="R6" s="16">
        <f>Q10</f>
        <v>49.339904869056845</v>
      </c>
      <c r="S6" s="16">
        <f>R10</f>
        <v>50.85970772298514</v>
      </c>
      <c r="T6" s="16">
        <f>S10</f>
        <v>52.33391649129559</v>
      </c>
      <c r="U6" s="16">
        <f>T10</f>
        <v>53.76389899655672</v>
      </c>
      <c r="V6" s="16">
        <f>U10</f>
        <v>55.15098202666002</v>
      </c>
      <c r="W6" s="16">
        <f>V10</f>
        <v>56.49645256586022</v>
      </c>
      <c r="X6" s="16">
        <f>W10</f>
        <v>57.80155898888441</v>
      </c>
      <c r="Y6" s="16">
        <f>X10</f>
        <v>59.067512219217875</v>
      </c>
      <c r="Z6" s="16">
        <f>Y10</f>
        <v>60.29548685264134</v>
      </c>
      <c r="AA6" s="16">
        <f>Z10</f>
        <v>61.4866222470621</v>
      </c>
      <c r="AB6" s="16">
        <f>AA10</f>
        <v>62.642023579650235</v>
      </c>
      <c r="AC6" s="16">
        <f>AB10</f>
        <v>63.76276287226074</v>
      </c>
      <c r="AD6" s="16">
        <f>AC10</f>
        <v>64.84987998609292</v>
      </c>
      <c r="AE6" s="16">
        <f>AD10</f>
        <v>65.90438358651012</v>
      </c>
      <c r="AF6" s="16">
        <f>AE10</f>
        <v>66.92725207891482</v>
      </c>
      <c r="AG6" s="16">
        <f>AF10</f>
        <v>67.91943451654737</v>
      </c>
      <c r="AH6" s="16">
        <f>AG10</f>
        <v>68.88185148105094</v>
      </c>
      <c r="AI6" s="16">
        <f>AH10</f>
        <v>69.81539593661941</v>
      </c>
      <c r="AJ6" s="16">
        <f>AI10</f>
        <v>70.72093405852083</v>
      </c>
      <c r="AK6" s="16">
        <f>AJ10</f>
        <v>71.5993060367652</v>
      </c>
      <c r="AL6" s="16">
        <f>AK10</f>
        <v>72.45132685566224</v>
      </c>
    </row>
    <row r="7">
      <c r="A7" s="5" t="inlineStr">
        <is>
          <t>Organic adds</t>
        </is>
      </c>
      <c r="C7" s="7">
        <f>Inputs!$B$36</f>
        <v>3</v>
      </c>
      <c r="D7" s="7">
        <f>Inputs!$B$36</f>
        <v>3</v>
      </c>
      <c r="E7" s="7">
        <f>Inputs!$B$36</f>
        <v>3</v>
      </c>
      <c r="F7" s="7">
        <f>Inputs!$B$36</f>
        <v>3</v>
      </c>
      <c r="G7" s="7">
        <f>Inputs!$B$36</f>
        <v>3</v>
      </c>
      <c r="H7" s="7">
        <f>Inputs!$B$36</f>
        <v>3</v>
      </c>
      <c r="I7" s="7">
        <f>Inputs!$B$36</f>
        <v>3</v>
      </c>
      <c r="J7" s="7">
        <f>Inputs!$B$36</f>
        <v>3</v>
      </c>
      <c r="K7" s="7">
        <f>Inputs!$B$36</f>
        <v>3</v>
      </c>
      <c r="L7" s="7">
        <f>Inputs!$B$36</f>
        <v>3</v>
      </c>
      <c r="M7" s="7">
        <f>Inputs!$B$36</f>
        <v>3</v>
      </c>
      <c r="N7" s="7">
        <f>Inputs!$B$36</f>
        <v>3</v>
      </c>
      <c r="O7" s="7">
        <f>Inputs!$B$36</f>
        <v>3</v>
      </c>
      <c r="P7" s="7">
        <f>Inputs!$B$36</f>
        <v>3</v>
      </c>
      <c r="Q7" s="7">
        <f>Inputs!$B$36</f>
        <v>3</v>
      </c>
      <c r="R7" s="7">
        <f>Inputs!$B$36</f>
        <v>3</v>
      </c>
      <c r="S7" s="7">
        <f>Inputs!$B$36</f>
        <v>3</v>
      </c>
      <c r="T7" s="7">
        <f>Inputs!$B$36</f>
        <v>3</v>
      </c>
      <c r="U7" s="7">
        <f>Inputs!$B$36</f>
        <v>3</v>
      </c>
      <c r="V7" s="7">
        <f>Inputs!$B$36</f>
        <v>3</v>
      </c>
      <c r="W7" s="7">
        <f>Inputs!$B$36</f>
        <v>3</v>
      </c>
      <c r="X7" s="7">
        <f>Inputs!$B$36</f>
        <v>3</v>
      </c>
      <c r="Y7" s="7">
        <f>Inputs!$B$36</f>
        <v>3</v>
      </c>
      <c r="Z7" s="7">
        <f>Inputs!$B$36</f>
        <v>3</v>
      </c>
      <c r="AA7" s="7">
        <f>Inputs!$B$36</f>
        <v>3</v>
      </c>
      <c r="AB7" s="7">
        <f>Inputs!$B$36</f>
        <v>3</v>
      </c>
      <c r="AC7" s="7">
        <f>Inputs!$B$36</f>
        <v>3</v>
      </c>
      <c r="AD7" s="7">
        <f>Inputs!$B$36</f>
        <v>3</v>
      </c>
      <c r="AE7" s="7">
        <f>Inputs!$B$36</f>
        <v>3</v>
      </c>
      <c r="AF7" s="7">
        <f>Inputs!$B$36</f>
        <v>3</v>
      </c>
      <c r="AG7" s="7">
        <f>Inputs!$B$36</f>
        <v>3</v>
      </c>
      <c r="AH7" s="7">
        <f>Inputs!$B$36</f>
        <v>3</v>
      </c>
      <c r="AI7" s="7">
        <f>Inputs!$B$36</f>
        <v>3</v>
      </c>
      <c r="AJ7" s="7">
        <f>Inputs!$B$36</f>
        <v>3</v>
      </c>
      <c r="AK7" s="7">
        <f>Inputs!$B$36</f>
        <v>3</v>
      </c>
      <c r="AL7" s="7">
        <f>Inputs!$B$36</f>
        <v>3</v>
      </c>
    </row>
    <row r="8">
      <c r="A8" s="5" t="inlineStr">
        <is>
          <t>Paid adds (paid $ / cost per convert)</t>
        </is>
      </c>
      <c r="C8" s="7">
        <f>IF(Inputs!$B$38=0,0,Inputs!$B$37/Inputs!$B$38)</f>
        <v>0.0</v>
      </c>
      <c r="D8" s="7">
        <f>IF(Inputs!$B$38=0,0,Inputs!$B$37/Inputs!$B$38)</f>
        <v>0.0</v>
      </c>
      <c r="E8" s="7">
        <f>IF(Inputs!$B$38=0,0,Inputs!$B$37/Inputs!$B$38)</f>
        <v>0.0</v>
      </c>
      <c r="F8" s="7">
        <f>IF(Inputs!$B$38=0,0,Inputs!$B$37/Inputs!$B$38)</f>
        <v>0.0</v>
      </c>
      <c r="G8" s="7">
        <f>IF(Inputs!$B$38=0,0,Inputs!$B$37/Inputs!$B$38)</f>
        <v>0.0</v>
      </c>
      <c r="H8" s="7">
        <f>IF(Inputs!$B$38=0,0,Inputs!$B$37/Inputs!$B$38)</f>
        <v>0.0</v>
      </c>
      <c r="I8" s="7">
        <f>IF(Inputs!$B$38=0,0,Inputs!$B$37/Inputs!$B$38)</f>
        <v>0.0</v>
      </c>
      <c r="J8" s="7">
        <f>IF(Inputs!$B$38=0,0,Inputs!$B$37/Inputs!$B$38)</f>
        <v>0.0</v>
      </c>
      <c r="K8" s="7">
        <f>IF(Inputs!$B$38=0,0,Inputs!$B$37/Inputs!$B$38)</f>
        <v>0.0</v>
      </c>
      <c r="L8" s="7">
        <f>IF(Inputs!$B$38=0,0,Inputs!$B$37/Inputs!$B$38)</f>
        <v>0.0</v>
      </c>
      <c r="M8" s="7">
        <f>IF(Inputs!$B$38=0,0,Inputs!$B$37/Inputs!$B$38)</f>
        <v>0.0</v>
      </c>
      <c r="N8" s="7">
        <f>IF(Inputs!$B$38=0,0,Inputs!$B$37/Inputs!$B$38)</f>
        <v>0.0</v>
      </c>
      <c r="O8" s="7">
        <f>IF(Inputs!$B$38=0,0,Inputs!$B$37/Inputs!$B$38)</f>
        <v>0.0</v>
      </c>
      <c r="P8" s="7">
        <f>IF(Inputs!$B$38=0,0,Inputs!$B$37/Inputs!$B$38)</f>
        <v>0.0</v>
      </c>
      <c r="Q8" s="7">
        <f>IF(Inputs!$B$38=0,0,Inputs!$B$37/Inputs!$B$38)</f>
        <v>0.0</v>
      </c>
      <c r="R8" s="7">
        <f>IF(Inputs!$B$38=0,0,Inputs!$B$37/Inputs!$B$38)</f>
        <v>0.0</v>
      </c>
      <c r="S8" s="7">
        <f>IF(Inputs!$B$38=0,0,Inputs!$B$37/Inputs!$B$38)</f>
        <v>0.0</v>
      </c>
      <c r="T8" s="7">
        <f>IF(Inputs!$B$38=0,0,Inputs!$B$37/Inputs!$B$38)</f>
        <v>0.0</v>
      </c>
      <c r="U8" s="7">
        <f>IF(Inputs!$B$38=0,0,Inputs!$B$37/Inputs!$B$38)</f>
        <v>0.0</v>
      </c>
      <c r="V8" s="7">
        <f>IF(Inputs!$B$38=0,0,Inputs!$B$37/Inputs!$B$38)</f>
        <v>0.0</v>
      </c>
      <c r="W8" s="7">
        <f>IF(Inputs!$B$38=0,0,Inputs!$B$37/Inputs!$B$38)</f>
        <v>0.0</v>
      </c>
      <c r="X8" s="7">
        <f>IF(Inputs!$B$38=0,0,Inputs!$B$37/Inputs!$B$38)</f>
        <v>0.0</v>
      </c>
      <c r="Y8" s="7">
        <f>IF(Inputs!$B$38=0,0,Inputs!$B$37/Inputs!$B$38)</f>
        <v>0.0</v>
      </c>
      <c r="Z8" s="7">
        <f>IF(Inputs!$B$38=0,0,Inputs!$B$37/Inputs!$B$38)</f>
        <v>0.0</v>
      </c>
      <c r="AA8" s="7">
        <f>IF(Inputs!$B$38=0,0,Inputs!$B$37/Inputs!$B$38)</f>
        <v>0.0</v>
      </c>
      <c r="AB8" s="7">
        <f>IF(Inputs!$B$38=0,0,Inputs!$B$37/Inputs!$B$38)</f>
        <v>0.0</v>
      </c>
      <c r="AC8" s="7">
        <f>IF(Inputs!$B$38=0,0,Inputs!$B$37/Inputs!$B$38)</f>
        <v>0.0</v>
      </c>
      <c r="AD8" s="7">
        <f>IF(Inputs!$B$38=0,0,Inputs!$B$37/Inputs!$B$38)</f>
        <v>0.0</v>
      </c>
      <c r="AE8" s="7">
        <f>IF(Inputs!$B$38=0,0,Inputs!$B$37/Inputs!$B$38)</f>
        <v>0.0</v>
      </c>
      <c r="AF8" s="7">
        <f>IF(Inputs!$B$38=0,0,Inputs!$B$37/Inputs!$B$38)</f>
        <v>0.0</v>
      </c>
      <c r="AG8" s="7">
        <f>IF(Inputs!$B$38=0,0,Inputs!$B$37/Inputs!$B$38)</f>
        <v>0.0</v>
      </c>
      <c r="AH8" s="7">
        <f>IF(Inputs!$B$38=0,0,Inputs!$B$37/Inputs!$B$38)</f>
        <v>0.0</v>
      </c>
      <c r="AI8" s="7">
        <f>IF(Inputs!$B$38=0,0,Inputs!$B$37/Inputs!$B$38)</f>
        <v>0.0</v>
      </c>
      <c r="AJ8" s="7">
        <f>IF(Inputs!$B$38=0,0,Inputs!$B$37/Inputs!$B$38)</f>
        <v>0.0</v>
      </c>
      <c r="AK8" s="7">
        <f>IF(Inputs!$B$38=0,0,Inputs!$B$37/Inputs!$B$38)</f>
        <v>0.0</v>
      </c>
      <c r="AL8" s="7">
        <f>IF(Inputs!$B$38=0,0,Inputs!$B$37/Inputs!$B$38)</f>
        <v>0.0</v>
      </c>
    </row>
    <row r="9">
      <c r="A9" s="5" t="inlineStr">
        <is>
          <t>Churned</t>
        </is>
      </c>
      <c r="C9" s="16">
        <f>-C6*Inputs!$B$14</f>
        <v>-0.6</v>
      </c>
      <c r="D9" s="16">
        <f>-D6*Inputs!$B$14</f>
        <v>-0.6719999999999999</v>
      </c>
      <c r="E9" s="16">
        <f>-E6*Inputs!$B$14</f>
        <v>-0.7418399999999999</v>
      </c>
      <c r="F9" s="16">
        <f>-F6*Inputs!$B$14</f>
        <v>-0.8095847999999999</v>
      </c>
      <c r="G9" s="16">
        <f>-G6*Inputs!$B$14</f>
        <v>-0.875297256</v>
      </c>
      <c r="H9" s="16">
        <f>-H6*Inputs!$B$14</f>
        <v>-0.93903833832</v>
      </c>
      <c r="I9" s="16">
        <f>-I6*Inputs!$B$14</f>
        <v>-1.0008671881704</v>
      </c>
      <c r="J9" s="16">
        <f>-J6*Inputs!$B$14</f>
        <v>-1.060841172525288</v>
      </c>
      <c r="K9" s="16">
        <f>-K6*Inputs!$B$14</f>
        <v>-1.1190159373495294</v>
      </c>
      <c r="L9" s="16">
        <f>-L6*Inputs!$B$14</f>
        <v>-1.1754454592290435</v>
      </c>
      <c r="M9" s="16">
        <f>-M6*Inputs!$B$14</f>
        <v>-1.230182095452172</v>
      </c>
      <c r="N9" s="16">
        <f>-N6*Inputs!$B$14</f>
        <v>-1.283276632588607</v>
      </c>
      <c r="O9" s="16">
        <f>-O6*Inputs!$B$14</f>
        <v>-1.3347783336109487</v>
      </c>
      <c r="P9" s="16">
        <f>-P6*Inputs!$B$14</f>
        <v>-1.3847349836026202</v>
      </c>
      <c r="Q9" s="16">
        <f>-Q6*Inputs!$B$14</f>
        <v>-1.4331929340945415</v>
      </c>
      <c r="R9" s="16">
        <f>-R6*Inputs!$B$14</f>
        <v>-1.4801971460717054</v>
      </c>
      <c r="S9" s="16">
        <f>-S6*Inputs!$B$14</f>
        <v>-1.525791231689554</v>
      </c>
      <c r="T9" s="16">
        <f>-T6*Inputs!$B$14</f>
        <v>-1.5700174947388676</v>
      </c>
      <c r="U9" s="16">
        <f>-U6*Inputs!$B$14</f>
        <v>-1.6129169698967014</v>
      </c>
      <c r="V9" s="16">
        <f>-V6*Inputs!$B$14</f>
        <v>-1.6545294607998005</v>
      </c>
      <c r="W9" s="16">
        <f>-W6*Inputs!$B$14</f>
        <v>-1.6948935769758064</v>
      </c>
      <c r="X9" s="16">
        <f>-X6*Inputs!$B$14</f>
        <v>-1.7340467696665323</v>
      </c>
      <c r="Y9" s="16">
        <f>-Y6*Inputs!$B$14</f>
        <v>-1.7720253665765362</v>
      </c>
      <c r="Z9" s="16">
        <f>-Z6*Inputs!$B$14</f>
        <v>-1.8088646055792401</v>
      </c>
      <c r="AA9" s="16">
        <f>-AA6*Inputs!$B$14</f>
        <v>-1.844598667411863</v>
      </c>
      <c r="AB9" s="16">
        <f>-AB6*Inputs!$B$14</f>
        <v>-1.879260707389507</v>
      </c>
      <c r="AC9" s="16">
        <f>-AC6*Inputs!$B$14</f>
        <v>-1.912882886167822</v>
      </c>
      <c r="AD9" s="16">
        <f>-AD6*Inputs!$B$14</f>
        <v>-1.9454963995827874</v>
      </c>
      <c r="AE9" s="16">
        <f>-AE6*Inputs!$B$14</f>
        <v>-1.9771315075953035</v>
      </c>
      <c r="AF9" s="16">
        <f>-AF6*Inputs!$B$14</f>
        <v>-2.0078175623674444</v>
      </c>
      <c r="AG9" s="16">
        <f>-AG6*Inputs!$B$14</f>
        <v>-2.037583035496421</v>
      </c>
      <c r="AH9" s="16">
        <f>-AH6*Inputs!$B$14</f>
        <v>-2.0664555444315282</v>
      </c>
      <c r="AI9" s="16">
        <f>-AI6*Inputs!$B$14</f>
        <v>-2.094461878098582</v>
      </c>
      <c r="AJ9" s="16">
        <f>-AJ6*Inputs!$B$14</f>
        <v>-2.1216280217556247</v>
      </c>
      <c r="AK9" s="16">
        <f>-AK6*Inputs!$B$14</f>
        <v>-2.147979181102956</v>
      </c>
      <c r="AL9" s="16">
        <f>-AL6*Inputs!$B$14</f>
        <v>-2.173539805669867</v>
      </c>
    </row>
    <row r="10">
      <c r="A10" s="3" t="inlineStr">
        <is>
          <t>Paying individuals, end of month</t>
        </is>
      </c>
      <c r="C10" s="17">
        <f>C6+C7+C8+C9</f>
        <v>22.4</v>
      </c>
      <c r="D10" s="17">
        <f>D6+D7+D8+D9</f>
        <v>24.727999999999998</v>
      </c>
      <c r="E10" s="17">
        <f>E6+E7+E8+E9</f>
        <v>26.986159999999998</v>
      </c>
      <c r="F10" s="17">
        <f>F6+F7+F8+F9</f>
        <v>29.1765752</v>
      </c>
      <c r="G10" s="17">
        <f>G6+G7+G8+G9</f>
        <v>31.301277944000002</v>
      </c>
      <c r="H10" s="17">
        <f>H6+H7+H8+H9</f>
        <v>33.36223960568</v>
      </c>
      <c r="I10" s="17">
        <f>I6+I7+I8+I9</f>
        <v>35.3613724175096</v>
      </c>
      <c r="J10" s="17">
        <f>J6+J7+J8+J9</f>
        <v>37.30053124498431</v>
      </c>
      <c r="K10" s="17">
        <f>K6+K7+K8+K9</f>
        <v>39.18151530763478</v>
      </c>
      <c r="L10" s="17">
        <f>L6+L7+L8+L9</f>
        <v>41.00606984840574</v>
      </c>
      <c r="M10" s="17">
        <f>M6+M7+M8+M9</f>
        <v>42.775887752953565</v>
      </c>
      <c r="N10" s="17">
        <f>N6+N7+N8+N9</f>
        <v>44.492611120364955</v>
      </c>
      <c r="O10" s="17">
        <f>O6+O7+O8+O9</f>
        <v>46.15783278675401</v>
      </c>
      <c r="P10" s="17">
        <f>P6+P7+P8+P9</f>
        <v>47.77309780315139</v>
      </c>
      <c r="Q10" s="17">
        <f>Q6+Q7+Q8+Q9</f>
        <v>49.339904869056845</v>
      </c>
      <c r="R10" s="17">
        <f>R6+R7+R8+R9</f>
        <v>50.85970772298514</v>
      </c>
      <c r="S10" s="17">
        <f>S6+S7+S8+S9</f>
        <v>52.33391649129559</v>
      </c>
      <c r="T10" s="17">
        <f>T6+T7+T8+T9</f>
        <v>53.76389899655672</v>
      </c>
      <c r="U10" s="17">
        <f>U6+U7+U8+U9</f>
        <v>55.15098202666002</v>
      </c>
      <c r="V10" s="17">
        <f>V6+V7+V8+V9</f>
        <v>56.49645256586022</v>
      </c>
      <c r="W10" s="17">
        <f>W6+W7+W8+W9</f>
        <v>57.80155898888441</v>
      </c>
      <c r="X10" s="17">
        <f>X6+X7+X8+X9</f>
        <v>59.067512219217875</v>
      </c>
      <c r="Y10" s="17">
        <f>Y6+Y7+Y8+Y9</f>
        <v>60.29548685264134</v>
      </c>
      <c r="Z10" s="17">
        <f>Z6+Z7+Z8+Z9</f>
        <v>61.4866222470621</v>
      </c>
      <c r="AA10" s="17">
        <f>AA6+AA7+AA8+AA9</f>
        <v>62.642023579650235</v>
      </c>
      <c r="AB10" s="17">
        <f>AB6+AB7+AB8+AB9</f>
        <v>63.76276287226074</v>
      </c>
      <c r="AC10" s="17">
        <f>AC6+AC7+AC8+AC9</f>
        <v>64.84987998609292</v>
      </c>
      <c r="AD10" s="17">
        <f>AD6+AD7+AD8+AD9</f>
        <v>65.90438358651012</v>
      </c>
      <c r="AE10" s="17">
        <f>AE6+AE7+AE8+AE9</f>
        <v>66.92725207891482</v>
      </c>
      <c r="AF10" s="17">
        <f>AF6+AF7+AF8+AF9</f>
        <v>67.91943451654737</v>
      </c>
      <c r="AG10" s="17">
        <f>AG6+AG7+AG8+AG9</f>
        <v>68.88185148105094</v>
      </c>
      <c r="AH10" s="17">
        <f>AH6+AH7+AH8+AH9</f>
        <v>69.81539593661941</v>
      </c>
      <c r="AI10" s="17">
        <f>AI6+AI7+AI8+AI9</f>
        <v>70.72093405852083</v>
      </c>
      <c r="AJ10" s="17">
        <f>AJ6+AJ7+AJ8+AJ9</f>
        <v>71.5993060367652</v>
      </c>
      <c r="AK10" s="17">
        <f>AK6+AK7+AK8+AK9</f>
        <v>72.45132685566224</v>
      </c>
      <c r="AL10" s="17">
        <f>AL6+AL7+AL8+AL9</f>
        <v>73.27778704999238</v>
      </c>
    </row>
    <row r="11">
      <c r="A11" s="5" t="inlineStr">
        <is>
          <t>Organization packs sold, cumulative</t>
        </is>
      </c>
      <c r="C11" s="8">
        <f>Inputs!$B$44</f>
        <v>0.25</v>
      </c>
      <c r="D11" s="8">
        <f>C11+Inputs!$B$44</f>
        <v>0.5</v>
      </c>
      <c r="E11" s="8">
        <f>D11+Inputs!$B$44</f>
        <v>0.75</v>
      </c>
      <c r="F11" s="8">
        <f>E11+Inputs!$B$44</f>
        <v>1.0</v>
      </c>
      <c r="G11" s="8">
        <f>F11+Inputs!$B$44</f>
        <v>1.25</v>
      </c>
      <c r="H11" s="8">
        <f>G11+Inputs!$B$44</f>
        <v>1.5</v>
      </c>
      <c r="I11" s="8">
        <f>H11+Inputs!$B$44</f>
        <v>1.75</v>
      </c>
      <c r="J11" s="8">
        <f>I11+Inputs!$B$44</f>
        <v>2.0</v>
      </c>
      <c r="K11" s="8">
        <f>J11+Inputs!$B$44</f>
        <v>2.25</v>
      </c>
      <c r="L11" s="8">
        <f>K11+Inputs!$B$44</f>
        <v>2.5</v>
      </c>
      <c r="M11" s="8">
        <f>L11+Inputs!$B$44</f>
        <v>2.75</v>
      </c>
      <c r="N11" s="8">
        <f>M11+Inputs!$B$44</f>
        <v>3.0</v>
      </c>
      <c r="O11" s="8">
        <f>N11+Inputs!$B$44</f>
        <v>3.25</v>
      </c>
      <c r="P11" s="8">
        <f>O11+Inputs!$B$44</f>
        <v>3.5</v>
      </c>
      <c r="Q11" s="8">
        <f>P11+Inputs!$B$44</f>
        <v>3.75</v>
      </c>
      <c r="R11" s="8">
        <f>Q11+Inputs!$B$44</f>
        <v>4.0</v>
      </c>
      <c r="S11" s="8">
        <f>R11+Inputs!$B$44</f>
        <v>4.25</v>
      </c>
      <c r="T11" s="8">
        <f>S11+Inputs!$B$44</f>
        <v>4.5</v>
      </c>
      <c r="U11" s="8">
        <f>T11+Inputs!$B$44</f>
        <v>4.75</v>
      </c>
      <c r="V11" s="8">
        <f>U11+Inputs!$B$44</f>
        <v>5.0</v>
      </c>
      <c r="W11" s="8">
        <f>V11+Inputs!$B$44</f>
        <v>5.25</v>
      </c>
      <c r="X11" s="8">
        <f>W11+Inputs!$B$44</f>
        <v>5.5</v>
      </c>
      <c r="Y11" s="8">
        <f>X11+Inputs!$B$44</f>
        <v>5.75</v>
      </c>
      <c r="Z11" s="8">
        <f>Y11+Inputs!$B$44</f>
        <v>6.0</v>
      </c>
      <c r="AA11" s="8">
        <f>Z11+Inputs!$B$44</f>
        <v>6.25</v>
      </c>
      <c r="AB11" s="8">
        <f>AA11+Inputs!$B$44</f>
        <v>6.5</v>
      </c>
      <c r="AC11" s="8">
        <f>AB11+Inputs!$B$44</f>
        <v>6.75</v>
      </c>
      <c r="AD11" s="8">
        <f>AC11+Inputs!$B$44</f>
        <v>7.0</v>
      </c>
      <c r="AE11" s="8">
        <f>AD11+Inputs!$B$44</f>
        <v>7.25</v>
      </c>
      <c r="AF11" s="8">
        <f>AE11+Inputs!$B$44</f>
        <v>7.5</v>
      </c>
      <c r="AG11" s="8">
        <f>AF11+Inputs!$B$44</f>
        <v>7.75</v>
      </c>
      <c r="AH11" s="8">
        <f>AG11+Inputs!$B$44</f>
        <v>8.0</v>
      </c>
      <c r="AI11" s="8">
        <f>AH11+Inputs!$B$44</f>
        <v>8.25</v>
      </c>
      <c r="AJ11" s="8">
        <f>AI11+Inputs!$B$44</f>
        <v>8.5</v>
      </c>
      <c r="AK11" s="8">
        <f>AJ11+Inputs!$B$44</f>
        <v>8.75</v>
      </c>
      <c r="AL11" s="8">
        <f>AK11+Inputs!$B$44</f>
        <v>9.0</v>
      </c>
    </row>
    <row r="12">
      <c r="A12" s="5" t="inlineStr">
        <is>
          <t>Organization seats active</t>
        </is>
      </c>
      <c r="C12" s="16">
        <f>C11*Inputs!$B$15</f>
        <v>7.5</v>
      </c>
      <c r="D12" s="16">
        <f>D11*Inputs!$B$15</f>
        <v>15.0</v>
      </c>
      <c r="E12" s="16">
        <f>E11*Inputs!$B$15</f>
        <v>22.5</v>
      </c>
      <c r="F12" s="16">
        <f>F11*Inputs!$B$15</f>
        <v>30</v>
      </c>
      <c r="G12" s="16">
        <f>G11*Inputs!$B$15</f>
        <v>37.5</v>
      </c>
      <c r="H12" s="16">
        <f>H11*Inputs!$B$15</f>
        <v>45.0</v>
      </c>
      <c r="I12" s="16">
        <f>I11*Inputs!$B$15</f>
        <v>52.5</v>
      </c>
      <c r="J12" s="16">
        <f>J11*Inputs!$B$15</f>
        <v>60</v>
      </c>
      <c r="K12" s="16">
        <f>K11*Inputs!$B$15</f>
        <v>67.5</v>
      </c>
      <c r="L12" s="16">
        <f>L11*Inputs!$B$15</f>
        <v>75.0</v>
      </c>
      <c r="M12" s="16">
        <f>M11*Inputs!$B$15</f>
        <v>82.5</v>
      </c>
      <c r="N12" s="16">
        <f>N11*Inputs!$B$15</f>
        <v>90</v>
      </c>
      <c r="O12" s="16">
        <f>O11*Inputs!$B$15</f>
        <v>97.5</v>
      </c>
      <c r="P12" s="16">
        <f>P11*Inputs!$B$15</f>
        <v>105.0</v>
      </c>
      <c r="Q12" s="16">
        <f>Q11*Inputs!$B$15</f>
        <v>112.5</v>
      </c>
      <c r="R12" s="16">
        <f>R11*Inputs!$B$15</f>
        <v>120</v>
      </c>
      <c r="S12" s="16">
        <f>S11*Inputs!$B$15</f>
        <v>127.5</v>
      </c>
      <c r="T12" s="16">
        <f>T11*Inputs!$B$15</f>
        <v>135.0</v>
      </c>
      <c r="U12" s="16">
        <f>U11*Inputs!$B$15</f>
        <v>142.5</v>
      </c>
      <c r="V12" s="16">
        <f>V11*Inputs!$B$15</f>
        <v>150</v>
      </c>
      <c r="W12" s="16">
        <f>W11*Inputs!$B$15</f>
        <v>157.5</v>
      </c>
      <c r="X12" s="16">
        <f>X11*Inputs!$B$15</f>
        <v>165.0</v>
      </c>
      <c r="Y12" s="16">
        <f>Y11*Inputs!$B$15</f>
        <v>172.5</v>
      </c>
      <c r="Z12" s="16">
        <f>Z11*Inputs!$B$15</f>
        <v>180</v>
      </c>
      <c r="AA12" s="16">
        <f>AA11*Inputs!$B$15</f>
        <v>187.5</v>
      </c>
      <c r="AB12" s="16">
        <f>AB11*Inputs!$B$15</f>
        <v>195.0</v>
      </c>
      <c r="AC12" s="16">
        <f>AC11*Inputs!$B$15</f>
        <v>202.5</v>
      </c>
      <c r="AD12" s="16">
        <f>AD11*Inputs!$B$15</f>
        <v>210</v>
      </c>
      <c r="AE12" s="16">
        <f>AE11*Inputs!$B$15</f>
        <v>217.5</v>
      </c>
      <c r="AF12" s="16">
        <f>AF11*Inputs!$B$15</f>
        <v>225.0</v>
      </c>
      <c r="AG12" s="16">
        <f>AG11*Inputs!$B$15</f>
        <v>232.5</v>
      </c>
      <c r="AH12" s="16">
        <f>AH11*Inputs!$B$15</f>
        <v>240</v>
      </c>
      <c r="AI12" s="16">
        <f>AI11*Inputs!$B$15</f>
        <v>247.5</v>
      </c>
      <c r="AJ12" s="16">
        <f>AJ11*Inputs!$B$15</f>
        <v>255.0</v>
      </c>
      <c r="AK12" s="16">
        <f>AK11*Inputs!$B$15</f>
        <v>262.5</v>
      </c>
      <c r="AL12" s="16">
        <f>AL11*Inputs!$B$15</f>
        <v>270</v>
      </c>
    </row>
    <row r="13">
      <c r="A13" s="3" t="inlineStr">
        <is>
          <t>Members (individuals + organization seats)</t>
        </is>
      </c>
      <c r="C13" s="17">
        <f>C10+C12</f>
        <v>29.9</v>
      </c>
      <c r="D13" s="17">
        <f>D10+D12</f>
        <v>39.727999999999994</v>
      </c>
      <c r="E13" s="17">
        <f>E10+E12</f>
        <v>49.48616</v>
      </c>
      <c r="F13" s="17">
        <f>F10+F12</f>
        <v>59.1765752</v>
      </c>
      <c r="G13" s="17">
        <f>G10+G12</f>
        <v>68.801277944</v>
      </c>
      <c r="H13" s="17">
        <f>H10+H12</f>
        <v>78.36223960568</v>
      </c>
      <c r="I13" s="17">
        <f>I10+I12</f>
        <v>87.8613724175096</v>
      </c>
      <c r="J13" s="17">
        <f>J10+J12</f>
        <v>97.30053124498431</v>
      </c>
      <c r="K13" s="17">
        <f>K10+K12</f>
        <v>106.68151530763478</v>
      </c>
      <c r="L13" s="17">
        <f>L10+L12</f>
        <v>116.00606984840573</v>
      </c>
      <c r="M13" s="17">
        <f>M10+M12</f>
        <v>125.27588775295357</v>
      </c>
      <c r="N13" s="17">
        <f>N10+N12</f>
        <v>134.49261112036496</v>
      </c>
      <c r="O13" s="17">
        <f>O10+O12</f>
        <v>143.657832786754</v>
      </c>
      <c r="P13" s="17">
        <f>P10+P12</f>
        <v>152.7730978031514</v>
      </c>
      <c r="Q13" s="17">
        <f>Q10+Q12</f>
        <v>161.83990486905685</v>
      </c>
      <c r="R13" s="17">
        <f>R10+R12</f>
        <v>170.85970772298515</v>
      </c>
      <c r="S13" s="17">
        <f>S10+S12</f>
        <v>179.83391649129558</v>
      </c>
      <c r="T13" s="17">
        <f>T10+T12</f>
        <v>188.76389899655672</v>
      </c>
      <c r="U13" s="17">
        <f>U10+U12</f>
        <v>197.65098202666002</v>
      </c>
      <c r="V13" s="17">
        <f>V10+V12</f>
        <v>206.4964525658602</v>
      </c>
      <c r="W13" s="17">
        <f>W10+W12</f>
        <v>215.3015589888844</v>
      </c>
      <c r="X13" s="17">
        <f>X10+X12</f>
        <v>224.06751221921786</v>
      </c>
      <c r="Y13" s="17">
        <f>Y10+Y12</f>
        <v>232.79548685264135</v>
      </c>
      <c r="Z13" s="17">
        <f>Z10+Z12</f>
        <v>241.4866222470621</v>
      </c>
      <c r="AA13" s="17">
        <f>AA10+AA12</f>
        <v>250.14202357965024</v>
      </c>
      <c r="AB13" s="17">
        <f>AB10+AB12</f>
        <v>258.76276287226074</v>
      </c>
      <c r="AC13" s="17">
        <f>AC10+AC12</f>
        <v>267.3498799860929</v>
      </c>
      <c r="AD13" s="17">
        <f>AD10+AD12</f>
        <v>275.9043835865101</v>
      </c>
      <c r="AE13" s="17">
        <f>AE10+AE12</f>
        <v>284.4272520789148</v>
      </c>
      <c r="AF13" s="17">
        <f>AF10+AF12</f>
        <v>292.91943451654737</v>
      </c>
      <c r="AG13" s="17">
        <f>AG10+AG12</f>
        <v>301.38185148105094</v>
      </c>
      <c r="AH13" s="17">
        <f>AH10+AH12</f>
        <v>309.81539593661944</v>
      </c>
      <c r="AI13" s="17">
        <f>AI10+AI12</f>
        <v>318.2209340585208</v>
      </c>
      <c r="AJ13" s="17">
        <f>AJ10+AJ12</f>
        <v>326.5993060367652</v>
      </c>
      <c r="AK13" s="17">
        <f>AK10+AK12</f>
        <v>334.9513268556623</v>
      </c>
      <c r="AL13" s="17">
        <f>AL10+AL12</f>
        <v>343.2777870499924</v>
      </c>
    </row>
    <row r="15">
      <c r="A15" s="1" t="inlineStr">
        <is>
          <t>REVENUE</t>
        </is>
      </c>
    </row>
    <row r="16">
      <c r="A16" s="5" t="inlineStr">
        <is>
          <t>Individual seats</t>
        </is>
      </c>
      <c r="C16" s="18">
        <f>C10*Inputs!$B$13</f>
        <v>224.0</v>
      </c>
      <c r="D16" s="18">
        <f>D10*Inputs!$B$13</f>
        <v>247.27999999999997</v>
      </c>
      <c r="E16" s="18">
        <f>E10*Inputs!$B$13</f>
        <v>269.86159999999995</v>
      </c>
      <c r="F16" s="18">
        <f>F10*Inputs!$B$13</f>
        <v>291.76575199999996</v>
      </c>
      <c r="G16" s="18">
        <f>G10*Inputs!$B$13</f>
        <v>313.01277944000003</v>
      </c>
      <c r="H16" s="18">
        <f>H10*Inputs!$B$13</f>
        <v>333.6223960568</v>
      </c>
      <c r="I16" s="18">
        <f>I10*Inputs!$B$13</f>
        <v>353.61372417509597</v>
      </c>
      <c r="J16" s="18">
        <f>J10*Inputs!$B$13</f>
        <v>373.00531244984313</v>
      </c>
      <c r="K16" s="18">
        <f>K10*Inputs!$B$13</f>
        <v>391.8151530763478</v>
      </c>
      <c r="L16" s="18">
        <f>L10*Inputs!$B$13</f>
        <v>410.06069848405735</v>
      </c>
      <c r="M16" s="18">
        <f>M10*Inputs!$B$13</f>
        <v>427.75887752953565</v>
      </c>
      <c r="N16" s="18">
        <f>N10*Inputs!$B$13</f>
        <v>444.92611120364955</v>
      </c>
      <c r="O16" s="18">
        <f>O10*Inputs!$B$13</f>
        <v>461.57832786754005</v>
      </c>
      <c r="P16" s="18">
        <f>P10*Inputs!$B$13</f>
        <v>477.73097803151387</v>
      </c>
      <c r="Q16" s="18">
        <f>Q10*Inputs!$B$13</f>
        <v>493.39904869056846</v>
      </c>
      <c r="R16" s="18">
        <f>R10*Inputs!$B$13</f>
        <v>508.59707722985144</v>
      </c>
      <c r="S16" s="18">
        <f>S10*Inputs!$B$13</f>
        <v>523.3391649129559</v>
      </c>
      <c r="T16" s="18">
        <f>T10*Inputs!$B$13</f>
        <v>537.6389899655671</v>
      </c>
      <c r="U16" s="18">
        <f>U10*Inputs!$B$13</f>
        <v>551.5098202666002</v>
      </c>
      <c r="V16" s="18">
        <f>V10*Inputs!$B$13</f>
        <v>564.9645256586022</v>
      </c>
      <c r="W16" s="18">
        <f>W10*Inputs!$B$13</f>
        <v>578.015589888844</v>
      </c>
      <c r="X16" s="18">
        <f>X10*Inputs!$B$13</f>
        <v>590.6751221921787</v>
      </c>
      <c r="Y16" s="18">
        <f>Y10*Inputs!$B$13</f>
        <v>602.9548685264134</v>
      </c>
      <c r="Z16" s="18">
        <f>Z10*Inputs!$B$13</f>
        <v>614.866222470621</v>
      </c>
      <c r="AA16" s="18">
        <f>AA10*Inputs!$B$13</f>
        <v>626.4202357965023</v>
      </c>
      <c r="AB16" s="18">
        <f>AB10*Inputs!$B$13</f>
        <v>637.6276287226074</v>
      </c>
      <c r="AC16" s="18">
        <f>AC10*Inputs!$B$13</f>
        <v>648.4987998609291</v>
      </c>
      <c r="AD16" s="18">
        <f>AD10*Inputs!$B$13</f>
        <v>659.0438358651012</v>
      </c>
      <c r="AE16" s="18">
        <f>AE10*Inputs!$B$13</f>
        <v>669.2725207891482</v>
      </c>
      <c r="AF16" s="18">
        <f>AF10*Inputs!$B$13</f>
        <v>679.1943451654737</v>
      </c>
      <c r="AG16" s="18">
        <f>AG10*Inputs!$B$13</f>
        <v>688.8185148105094</v>
      </c>
      <c r="AH16" s="18">
        <f>AH10*Inputs!$B$13</f>
        <v>698.1539593661942</v>
      </c>
      <c r="AI16" s="18">
        <f>AI10*Inputs!$B$13</f>
        <v>707.2093405852082</v>
      </c>
      <c r="AJ16" s="18">
        <f>AJ10*Inputs!$B$13</f>
        <v>715.993060367652</v>
      </c>
      <c r="AK16" s="18">
        <f>AK10*Inputs!$B$13</f>
        <v>724.5132685566225</v>
      </c>
      <c r="AL16" s="18">
        <f>AL10*Inputs!$B$13</f>
        <v>732.7778704999239</v>
      </c>
    </row>
    <row r="17">
      <c r="A17" s="5" t="inlineStr">
        <is>
          <t>Organization packs (cash at sale, renewals every 12 months)</t>
        </is>
      </c>
      <c r="C17" s="18">
        <f>Inputs!$B$44*Inputs!$B$15*Inputs!$B$16*1</f>
        <v>750</v>
      </c>
      <c r="D17" s="18">
        <f>Inputs!$B$44*Inputs!$B$15*Inputs!$B$16*1</f>
        <v>750</v>
      </c>
      <c r="E17" s="18">
        <f>Inputs!$B$44*Inputs!$B$15*Inputs!$B$16*1</f>
        <v>750</v>
      </c>
      <c r="F17" s="18">
        <f>Inputs!$B$44*Inputs!$B$15*Inputs!$B$16*1</f>
        <v>750</v>
      </c>
      <c r="G17" s="18">
        <f>Inputs!$B$44*Inputs!$B$15*Inputs!$B$16*1</f>
        <v>750</v>
      </c>
      <c r="H17" s="18">
        <f>Inputs!$B$44*Inputs!$B$15*Inputs!$B$16*1</f>
        <v>750</v>
      </c>
      <c r="I17" s="18">
        <f>Inputs!$B$44*Inputs!$B$15*Inputs!$B$16*1</f>
        <v>750</v>
      </c>
      <c r="J17" s="18">
        <f>Inputs!$B$44*Inputs!$B$15*Inputs!$B$16*1</f>
        <v>750</v>
      </c>
      <c r="K17" s="18">
        <f>Inputs!$B$44*Inputs!$B$15*Inputs!$B$16*1</f>
        <v>750</v>
      </c>
      <c r="L17" s="18">
        <f>Inputs!$B$44*Inputs!$B$15*Inputs!$B$16*1</f>
        <v>750</v>
      </c>
      <c r="M17" s="18">
        <f>Inputs!$B$44*Inputs!$B$15*Inputs!$B$16*1</f>
        <v>750</v>
      </c>
      <c r="N17" s="18">
        <f>Inputs!$B$44*Inputs!$B$15*Inputs!$B$16*1</f>
        <v>750</v>
      </c>
      <c r="O17" s="18">
        <f>Inputs!$B$44*Inputs!$B$15*Inputs!$B$16*2</f>
        <v>1500</v>
      </c>
      <c r="P17" s="18">
        <f>Inputs!$B$44*Inputs!$B$15*Inputs!$B$16*2</f>
        <v>1500</v>
      </c>
      <c r="Q17" s="18">
        <f>Inputs!$B$44*Inputs!$B$15*Inputs!$B$16*2</f>
        <v>1500</v>
      </c>
      <c r="R17" s="18">
        <f>Inputs!$B$44*Inputs!$B$15*Inputs!$B$16*2</f>
        <v>1500</v>
      </c>
      <c r="S17" s="18">
        <f>Inputs!$B$44*Inputs!$B$15*Inputs!$B$16*2</f>
        <v>1500</v>
      </c>
      <c r="T17" s="18">
        <f>Inputs!$B$44*Inputs!$B$15*Inputs!$B$16*2</f>
        <v>1500</v>
      </c>
      <c r="U17" s="18">
        <f>Inputs!$B$44*Inputs!$B$15*Inputs!$B$16*2</f>
        <v>1500</v>
      </c>
      <c r="V17" s="18">
        <f>Inputs!$B$44*Inputs!$B$15*Inputs!$B$16*2</f>
        <v>1500</v>
      </c>
      <c r="W17" s="18">
        <f>Inputs!$B$44*Inputs!$B$15*Inputs!$B$16*2</f>
        <v>1500</v>
      </c>
      <c r="X17" s="18">
        <f>Inputs!$B$44*Inputs!$B$15*Inputs!$B$16*2</f>
        <v>1500</v>
      </c>
      <c r="Y17" s="18">
        <f>Inputs!$B$44*Inputs!$B$15*Inputs!$B$16*2</f>
        <v>1500</v>
      </c>
      <c r="Z17" s="18">
        <f>Inputs!$B$44*Inputs!$B$15*Inputs!$B$16*2</f>
        <v>1500</v>
      </c>
      <c r="AA17" s="18">
        <f>Inputs!$B$44*Inputs!$B$15*Inputs!$B$16*3</f>
        <v>2250</v>
      </c>
      <c r="AB17" s="18">
        <f>Inputs!$B$44*Inputs!$B$15*Inputs!$B$16*3</f>
        <v>2250</v>
      </c>
      <c r="AC17" s="18">
        <f>Inputs!$B$44*Inputs!$B$15*Inputs!$B$16*3</f>
        <v>2250</v>
      </c>
      <c r="AD17" s="18">
        <f>Inputs!$B$44*Inputs!$B$15*Inputs!$B$16*3</f>
        <v>2250</v>
      </c>
      <c r="AE17" s="18">
        <f>Inputs!$B$44*Inputs!$B$15*Inputs!$B$16*3</f>
        <v>2250</v>
      </c>
      <c r="AF17" s="18">
        <f>Inputs!$B$44*Inputs!$B$15*Inputs!$B$16*3</f>
        <v>2250</v>
      </c>
      <c r="AG17" s="18">
        <f>Inputs!$B$44*Inputs!$B$15*Inputs!$B$16*3</f>
        <v>2250</v>
      </c>
      <c r="AH17" s="18">
        <f>Inputs!$B$44*Inputs!$B$15*Inputs!$B$16*3</f>
        <v>2250</v>
      </c>
      <c r="AI17" s="18">
        <f>Inputs!$B$44*Inputs!$B$15*Inputs!$B$16*3</f>
        <v>2250</v>
      </c>
      <c r="AJ17" s="18">
        <f>Inputs!$B$44*Inputs!$B$15*Inputs!$B$16*3</f>
        <v>2250</v>
      </c>
      <c r="AK17" s="18">
        <f>Inputs!$B$44*Inputs!$B$15*Inputs!$B$16*3</f>
        <v>2250</v>
      </c>
      <c r="AL17" s="18">
        <f>Inputs!$B$44*Inputs!$B$15*Inputs!$B$16*3</f>
        <v>2250</v>
      </c>
    </row>
    <row r="18">
      <c r="A18" s="5" t="inlineStr">
        <is>
          <t>Money moved (memo)</t>
        </is>
      </c>
      <c r="C18" s="19">
        <f>C13*Inputs!$B$17</f>
        <v>358.79999999999995</v>
      </c>
      <c r="D18" s="19">
        <f>D13*Inputs!$B$17</f>
        <v>476.73599999999993</v>
      </c>
      <c r="E18" s="19">
        <f>E13*Inputs!$B$17</f>
        <v>593.83392</v>
      </c>
      <c r="F18" s="19">
        <f>F13*Inputs!$B$17</f>
        <v>710.1189024</v>
      </c>
      <c r="G18" s="19">
        <f>G13*Inputs!$B$17</f>
        <v>825.6153353280001</v>
      </c>
      <c r="H18" s="19">
        <f>H13*Inputs!$B$17</f>
        <v>940.34687526816</v>
      </c>
      <c r="I18" s="19">
        <f>I13*Inputs!$B$17</f>
        <v>1054.3364690101153</v>
      </c>
      <c r="J18" s="19">
        <f>J13*Inputs!$B$17</f>
        <v>1167.6063749398118</v>
      </c>
      <c r="K18" s="19">
        <f>K13*Inputs!$B$17</f>
        <v>1280.1781836916175</v>
      </c>
      <c r="L18" s="19">
        <f>L13*Inputs!$B$17</f>
        <v>1392.0728381808688</v>
      </c>
      <c r="M18" s="19">
        <f>M13*Inputs!$B$17</f>
        <v>1503.3106530354428</v>
      </c>
      <c r="N18" s="19">
        <f>N13*Inputs!$B$17</f>
        <v>1613.9113334443796</v>
      </c>
      <c r="O18" s="19">
        <f>O13*Inputs!$B$17</f>
        <v>1723.893993441048</v>
      </c>
      <c r="P18" s="19">
        <f>P13*Inputs!$B$17</f>
        <v>1833.2771736378168</v>
      </c>
      <c r="Q18" s="19">
        <f>Q13*Inputs!$B$17</f>
        <v>1942.0788584286822</v>
      </c>
      <c r="R18" s="19">
        <f>R13*Inputs!$B$17</f>
        <v>2050.316492675822</v>
      </c>
      <c r="S18" s="19">
        <f>S13*Inputs!$B$17</f>
        <v>2158.006997895547</v>
      </c>
      <c r="T18" s="19">
        <f>T13*Inputs!$B$17</f>
        <v>2265.1667879586807</v>
      </c>
      <c r="U18" s="19">
        <f>U13*Inputs!$B$17</f>
        <v>2371.81178431992</v>
      </c>
      <c r="V18" s="19">
        <f>V13*Inputs!$B$17</f>
        <v>2477.9574307903226</v>
      </c>
      <c r="W18" s="19">
        <f>W13*Inputs!$B$17</f>
        <v>2583.618707866613</v>
      </c>
      <c r="X18" s="19">
        <f>X13*Inputs!$B$17</f>
        <v>2688.8101466306143</v>
      </c>
      <c r="Y18" s="19">
        <f>Y13*Inputs!$B$17</f>
        <v>2793.545842231696</v>
      </c>
      <c r="Z18" s="19">
        <f>Z13*Inputs!$B$17</f>
        <v>2897.839466964745</v>
      </c>
      <c r="AA18" s="19">
        <f>AA13*Inputs!$B$17</f>
        <v>3001.704282955803</v>
      </c>
      <c r="AB18" s="19">
        <f>AB13*Inputs!$B$17</f>
        <v>3105.153154467129</v>
      </c>
      <c r="AC18" s="19">
        <f>AC13*Inputs!$B$17</f>
        <v>3208.198559833115</v>
      </c>
      <c r="AD18" s="19">
        <f>AD13*Inputs!$B$17</f>
        <v>3310.8526030381213</v>
      </c>
      <c r="AE18" s="19">
        <f>AE13*Inputs!$B$17</f>
        <v>3413.127024946978</v>
      </c>
      <c r="AF18" s="19">
        <f>AF13*Inputs!$B$17</f>
        <v>3515.033214198568</v>
      </c>
      <c r="AG18" s="19">
        <f>AG13*Inputs!$B$17</f>
        <v>3616.5822177726113</v>
      </c>
      <c r="AH18" s="19">
        <f>AH13*Inputs!$B$17</f>
        <v>3717.7847512394333</v>
      </c>
      <c r="AI18" s="19">
        <f>AI13*Inputs!$B$17</f>
        <v>3818.6512087022497</v>
      </c>
      <c r="AJ18" s="19">
        <f>AJ13*Inputs!$B$17</f>
        <v>3919.191672441182</v>
      </c>
      <c r="AK18" s="19">
        <f>AK13*Inputs!$B$17</f>
        <v>4019.4159222679473</v>
      </c>
      <c r="AL18" s="19">
        <f>AL13*Inputs!$B$17</f>
        <v>4119.333444599909</v>
      </c>
    </row>
    <row r="19">
      <c r="A19" s="5" t="inlineStr">
        <is>
          <t>Platform share of money moved</t>
        </is>
      </c>
      <c r="C19" s="18">
        <f>C18*Inputs!$B$18</f>
        <v>35.879999999999995</v>
      </c>
      <c r="D19" s="18">
        <f>D18*Inputs!$B$18</f>
        <v>47.67359999999999</v>
      </c>
      <c r="E19" s="18">
        <f>E18*Inputs!$B$18</f>
        <v>59.38339200000001</v>
      </c>
      <c r="F19" s="18">
        <f>F18*Inputs!$B$18</f>
        <v>71.01189024</v>
      </c>
      <c r="G19" s="18">
        <f>G18*Inputs!$B$18</f>
        <v>82.56153353280001</v>
      </c>
      <c r="H19" s="18">
        <f>H18*Inputs!$B$18</f>
        <v>94.03468752681601</v>
      </c>
      <c r="I19" s="18">
        <f>I18*Inputs!$B$18</f>
        <v>105.43364690101153</v>
      </c>
      <c r="J19" s="18">
        <f>J18*Inputs!$B$18</f>
        <v>116.76063749398118</v>
      </c>
      <c r="K19" s="18">
        <f>K18*Inputs!$B$18</f>
        <v>128.01781836916174</v>
      </c>
      <c r="L19" s="18">
        <f>L18*Inputs!$B$18</f>
        <v>139.2072838180869</v>
      </c>
      <c r="M19" s="18">
        <f>M18*Inputs!$B$18</f>
        <v>150.33106530354428</v>
      </c>
      <c r="N19" s="18">
        <f>N18*Inputs!$B$18</f>
        <v>161.39113334443797</v>
      </c>
      <c r="O19" s="18">
        <f>O18*Inputs!$B$18</f>
        <v>172.38939934410482</v>
      </c>
      <c r="P19" s="18">
        <f>P18*Inputs!$B$18</f>
        <v>183.3277173637817</v>
      </c>
      <c r="Q19" s="18">
        <f>Q18*Inputs!$B$18</f>
        <v>194.20788584286822</v>
      </c>
      <c r="R19" s="18">
        <f>R18*Inputs!$B$18</f>
        <v>205.0316492675822</v>
      </c>
      <c r="S19" s="18">
        <f>S18*Inputs!$B$18</f>
        <v>215.80069978955473</v>
      </c>
      <c r="T19" s="18">
        <f>T18*Inputs!$B$18</f>
        <v>226.51667879586807</v>
      </c>
      <c r="U19" s="18">
        <f>U18*Inputs!$B$18</f>
        <v>237.18117843199204</v>
      </c>
      <c r="V19" s="18">
        <f>V18*Inputs!$B$18</f>
        <v>247.79574307903226</v>
      </c>
      <c r="W19" s="18">
        <f>W18*Inputs!$B$18</f>
        <v>258.3618707866613</v>
      </c>
      <c r="X19" s="18">
        <f>X18*Inputs!$B$18</f>
        <v>268.8810146630614</v>
      </c>
      <c r="Y19" s="18">
        <f>Y18*Inputs!$B$18</f>
        <v>279.35458422316964</v>
      </c>
      <c r="Z19" s="18">
        <f>Z18*Inputs!$B$18</f>
        <v>289.7839466964745</v>
      </c>
      <c r="AA19" s="18">
        <f>AA18*Inputs!$B$18</f>
        <v>300.17042829558034</v>
      </c>
      <c r="AB19" s="18">
        <f>AB18*Inputs!$B$18</f>
        <v>310.5153154467129</v>
      </c>
      <c r="AC19" s="18">
        <f>AC18*Inputs!$B$18</f>
        <v>320.8198559833115</v>
      </c>
      <c r="AD19" s="18">
        <f>AD18*Inputs!$B$18</f>
        <v>331.08526030381216</v>
      </c>
      <c r="AE19" s="18">
        <f>AE18*Inputs!$B$18</f>
        <v>341.3127024946978</v>
      </c>
      <c r="AF19" s="18">
        <f>AF18*Inputs!$B$18</f>
        <v>351.50332141985683</v>
      </c>
      <c r="AG19" s="18">
        <f>AG18*Inputs!$B$18</f>
        <v>361.65822177726113</v>
      </c>
      <c r="AH19" s="18">
        <f>AH18*Inputs!$B$18</f>
        <v>371.77847512394334</v>
      </c>
      <c r="AI19" s="18">
        <f>AI18*Inputs!$B$18</f>
        <v>381.865120870225</v>
      </c>
      <c r="AJ19" s="18">
        <f>AJ18*Inputs!$B$18</f>
        <v>391.9191672441182</v>
      </c>
      <c r="AK19" s="18">
        <f>AK18*Inputs!$B$18</f>
        <v>401.94159222679474</v>
      </c>
      <c r="AL19" s="18">
        <f>AL18*Inputs!$B$18</f>
        <v>411.9333444599909</v>
      </c>
    </row>
    <row r="20">
      <c r="A20" s="5" t="inlineStr">
        <is>
          <t>Program administration fee</t>
        </is>
      </c>
      <c r="C20" s="18">
        <f>Inputs!$B$19*Inputs!$B$20</f>
        <v>0.0</v>
      </c>
      <c r="D20" s="18">
        <f>Inputs!$B$19*Inputs!$B$20</f>
        <v>0.0</v>
      </c>
      <c r="E20" s="18">
        <f>Inputs!$B$19*Inputs!$B$20</f>
        <v>0.0</v>
      </c>
      <c r="F20" s="18">
        <f>Inputs!$B$19*Inputs!$B$20</f>
        <v>0.0</v>
      </c>
      <c r="G20" s="18">
        <f>Inputs!$B$19*Inputs!$B$20</f>
        <v>0.0</v>
      </c>
      <c r="H20" s="18">
        <f>Inputs!$B$19*Inputs!$B$20</f>
        <v>0.0</v>
      </c>
      <c r="I20" s="18">
        <f>Inputs!$B$19*Inputs!$B$20</f>
        <v>0.0</v>
      </c>
      <c r="J20" s="18">
        <f>Inputs!$B$19*Inputs!$B$20</f>
        <v>0.0</v>
      </c>
      <c r="K20" s="18">
        <f>Inputs!$B$19*Inputs!$B$20</f>
        <v>0.0</v>
      </c>
      <c r="L20" s="18">
        <f>Inputs!$B$19*Inputs!$B$20</f>
        <v>0.0</v>
      </c>
      <c r="M20" s="18">
        <f>Inputs!$B$19*Inputs!$B$20</f>
        <v>0.0</v>
      </c>
      <c r="N20" s="18">
        <f>Inputs!$B$19*Inputs!$B$20</f>
        <v>0.0</v>
      </c>
      <c r="O20" s="18">
        <f>Inputs!$B$19*Inputs!$B$20</f>
        <v>0.0</v>
      </c>
      <c r="P20" s="18">
        <f>Inputs!$B$19*Inputs!$B$20</f>
        <v>0.0</v>
      </c>
      <c r="Q20" s="18">
        <f>Inputs!$B$19*Inputs!$B$20</f>
        <v>0.0</v>
      </c>
      <c r="R20" s="18">
        <f>Inputs!$B$19*Inputs!$B$20</f>
        <v>0.0</v>
      </c>
      <c r="S20" s="18">
        <f>Inputs!$B$19*Inputs!$B$20</f>
        <v>0.0</v>
      </c>
      <c r="T20" s="18">
        <f>Inputs!$B$19*Inputs!$B$20</f>
        <v>0.0</v>
      </c>
      <c r="U20" s="18">
        <f>Inputs!$B$19*Inputs!$B$20</f>
        <v>0.0</v>
      </c>
      <c r="V20" s="18">
        <f>Inputs!$B$19*Inputs!$B$20</f>
        <v>0.0</v>
      </c>
      <c r="W20" s="18">
        <f>Inputs!$B$19*Inputs!$B$20</f>
        <v>0.0</v>
      </c>
      <c r="X20" s="18">
        <f>Inputs!$B$19*Inputs!$B$20</f>
        <v>0.0</v>
      </c>
      <c r="Y20" s="18">
        <f>Inputs!$B$19*Inputs!$B$20</f>
        <v>0.0</v>
      </c>
      <c r="Z20" s="18">
        <f>Inputs!$B$19*Inputs!$B$20</f>
        <v>0.0</v>
      </c>
      <c r="AA20" s="18">
        <f>Inputs!$B$19*Inputs!$B$20</f>
        <v>0.0</v>
      </c>
      <c r="AB20" s="18">
        <f>Inputs!$B$19*Inputs!$B$20</f>
        <v>0.0</v>
      </c>
      <c r="AC20" s="18">
        <f>Inputs!$B$19*Inputs!$B$20</f>
        <v>0.0</v>
      </c>
      <c r="AD20" s="18">
        <f>Inputs!$B$19*Inputs!$B$20</f>
        <v>0.0</v>
      </c>
      <c r="AE20" s="18">
        <f>Inputs!$B$19*Inputs!$B$20</f>
        <v>0.0</v>
      </c>
      <c r="AF20" s="18">
        <f>Inputs!$B$19*Inputs!$B$20</f>
        <v>0.0</v>
      </c>
      <c r="AG20" s="18">
        <f>Inputs!$B$19*Inputs!$B$20</f>
        <v>0.0</v>
      </c>
      <c r="AH20" s="18">
        <f>Inputs!$B$19*Inputs!$B$20</f>
        <v>0.0</v>
      </c>
      <c r="AI20" s="18">
        <f>Inputs!$B$19*Inputs!$B$20</f>
        <v>0.0</v>
      </c>
      <c r="AJ20" s="18">
        <f>Inputs!$B$19*Inputs!$B$20</f>
        <v>0.0</v>
      </c>
      <c r="AK20" s="18">
        <f>Inputs!$B$19*Inputs!$B$20</f>
        <v>0.0</v>
      </c>
      <c r="AL20" s="18">
        <f>Inputs!$B$19*Inputs!$B$20</f>
        <v>0.0</v>
      </c>
    </row>
    <row r="21">
      <c r="A21" s="5" t="inlineStr">
        <is>
          <t>Sponsorships</t>
        </is>
      </c>
      <c r="C21" s="18">
        <f>Inputs!$B$21</f>
        <v>2000</v>
      </c>
      <c r="D21" s="18">
        <f>0</f>
        <v>0</v>
      </c>
      <c r="E21" s="18">
        <f>0</f>
        <v>0</v>
      </c>
      <c r="F21" s="18">
        <f>0</f>
        <v>0</v>
      </c>
      <c r="G21" s="18">
        <f>0</f>
        <v>0</v>
      </c>
      <c r="H21" s="18">
        <f>0</f>
        <v>0</v>
      </c>
      <c r="I21" s="18">
        <f>Inputs!$B$22/12</f>
        <v>0.0</v>
      </c>
      <c r="J21" s="18">
        <f>Inputs!$B$22/12</f>
        <v>0.0</v>
      </c>
      <c r="K21" s="18">
        <f>Inputs!$B$22/12</f>
        <v>0.0</v>
      </c>
      <c r="L21" s="18">
        <f>Inputs!$B$22/12</f>
        <v>0.0</v>
      </c>
      <c r="M21" s="18">
        <f>Inputs!$B$22/12</f>
        <v>0.0</v>
      </c>
      <c r="N21" s="18">
        <f>Inputs!$B$22/12</f>
        <v>0.0</v>
      </c>
      <c r="O21" s="18">
        <f>Inputs!$B$22/12</f>
        <v>0.0</v>
      </c>
      <c r="P21" s="18">
        <f>Inputs!$B$22/12</f>
        <v>0.0</v>
      </c>
      <c r="Q21" s="18">
        <f>Inputs!$B$22/12</f>
        <v>0.0</v>
      </c>
      <c r="R21" s="18">
        <f>Inputs!$B$22/12</f>
        <v>0.0</v>
      </c>
      <c r="S21" s="18">
        <f>Inputs!$B$22/12</f>
        <v>0.0</v>
      </c>
      <c r="T21" s="18">
        <f>Inputs!$B$22/12</f>
        <v>0.0</v>
      </c>
      <c r="U21" s="18">
        <f>Inputs!$B$22/12</f>
        <v>0.0</v>
      </c>
      <c r="V21" s="18">
        <f>Inputs!$B$22/12</f>
        <v>0.0</v>
      </c>
      <c r="W21" s="18">
        <f>Inputs!$B$22/12</f>
        <v>0.0</v>
      </c>
      <c r="X21" s="18">
        <f>Inputs!$B$22/12</f>
        <v>0.0</v>
      </c>
      <c r="Y21" s="18">
        <f>Inputs!$B$22/12</f>
        <v>0.0</v>
      </c>
      <c r="Z21" s="18">
        <f>Inputs!$B$22/12</f>
        <v>0.0</v>
      </c>
      <c r="AA21" s="18">
        <f>Inputs!$B$22/12</f>
        <v>0.0</v>
      </c>
      <c r="AB21" s="18">
        <f>Inputs!$B$22/12</f>
        <v>0.0</v>
      </c>
      <c r="AC21" s="18">
        <f>Inputs!$B$22/12</f>
        <v>0.0</v>
      </c>
      <c r="AD21" s="18">
        <f>Inputs!$B$22/12</f>
        <v>0.0</v>
      </c>
      <c r="AE21" s="18">
        <f>Inputs!$B$22/12</f>
        <v>0.0</v>
      </c>
      <c r="AF21" s="18">
        <f>Inputs!$B$22/12</f>
        <v>0.0</v>
      </c>
      <c r="AG21" s="18">
        <f>Inputs!$B$22/12</f>
        <v>0.0</v>
      </c>
      <c r="AH21" s="18">
        <f>Inputs!$B$22/12</f>
        <v>0.0</v>
      </c>
      <c r="AI21" s="18">
        <f>Inputs!$B$22/12</f>
        <v>0.0</v>
      </c>
      <c r="AJ21" s="18">
        <f>Inputs!$B$22/12</f>
        <v>0.0</v>
      </c>
      <c r="AK21" s="18">
        <f>Inputs!$B$22/12</f>
        <v>0.0</v>
      </c>
      <c r="AL21" s="18">
        <f>Inputs!$B$22/12</f>
        <v>0.0</v>
      </c>
    </row>
    <row r="22">
      <c r="A22" s="5" t="inlineStr">
        <is>
          <t>Recurring revenue (memo: seats + share of money moved + program fee)</t>
        </is>
      </c>
      <c r="C22" s="19">
        <f>C16+C19+C20</f>
        <v>259.88</v>
      </c>
      <c r="D22" s="19">
        <f>D16+D19+D20</f>
        <v>294.95359999999994</v>
      </c>
      <c r="E22" s="19">
        <f>E16+E19+E20</f>
        <v>329.24499199999997</v>
      </c>
      <c r="F22" s="19">
        <f>F16+F19+F20</f>
        <v>362.77764224</v>
      </c>
      <c r="G22" s="19">
        <f>G16+G19+G20</f>
        <v>395.57431297280004</v>
      </c>
      <c r="H22" s="19">
        <f>H16+H19+H20</f>
        <v>427.65708358361604</v>
      </c>
      <c r="I22" s="19">
        <f>I16+I19+I20</f>
        <v>459.0473710761075</v>
      </c>
      <c r="J22" s="19">
        <f>J16+J19+J20</f>
        <v>489.7659499438243</v>
      </c>
      <c r="K22" s="19">
        <f>K16+K19+K20</f>
        <v>519.8329714455095</v>
      </c>
      <c r="L22" s="19">
        <f>L16+L19+L20</f>
        <v>549.2679823021442</v>
      </c>
      <c r="M22" s="19">
        <f>M16+M19+M20</f>
        <v>578.0899428330799</v>
      </c>
      <c r="N22" s="19">
        <f>N16+N19+N20</f>
        <v>606.3172445480875</v>
      </c>
      <c r="O22" s="19">
        <f>O16+O19+O20</f>
        <v>633.9677272116448</v>
      </c>
      <c r="P22" s="19">
        <f>P16+P19+P20</f>
        <v>661.0586953952956</v>
      </c>
      <c r="Q22" s="19">
        <f>Q16+Q19+Q20</f>
        <v>687.6069345334367</v>
      </c>
      <c r="R22" s="19">
        <f>R16+R19+R20</f>
        <v>713.6287264974336</v>
      </c>
      <c r="S22" s="19">
        <f>S16+S19+S20</f>
        <v>739.1398647025106</v>
      </c>
      <c r="T22" s="19">
        <f>T16+T19+T20</f>
        <v>764.1556687614352</v>
      </c>
      <c r="U22" s="19">
        <f>U16+U19+U20</f>
        <v>788.6909986985922</v>
      </c>
      <c r="V22" s="19">
        <f>V16+V19+V20</f>
        <v>812.7602687376344</v>
      </c>
      <c r="W22" s="19">
        <f>W16+W19+W20</f>
        <v>836.3774606755053</v>
      </c>
      <c r="X22" s="19">
        <f>X16+X19+X20</f>
        <v>859.5561368552401</v>
      </c>
      <c r="Y22" s="19">
        <f>Y16+Y19+Y20</f>
        <v>882.309452749583</v>
      </c>
      <c r="Z22" s="19">
        <f>Z16+Z19+Z20</f>
        <v>904.6501691670956</v>
      </c>
      <c r="AA22" s="19">
        <f>AA16+AA19+AA20</f>
        <v>926.5906640920826</v>
      </c>
      <c r="AB22" s="19">
        <f>AB16+AB19+AB20</f>
        <v>948.1429441693203</v>
      </c>
      <c r="AC22" s="19">
        <f>AC16+AC19+AC20</f>
        <v>969.3186558442407</v>
      </c>
      <c r="AD22" s="19">
        <f>AD16+AD19+AD20</f>
        <v>990.1290961689133</v>
      </c>
      <c r="AE22" s="19">
        <f>AE16+AE19+AE20</f>
        <v>1010.5852232838461</v>
      </c>
      <c r="AF22" s="19">
        <f>AF16+AF19+AF20</f>
        <v>1030.6976665853306</v>
      </c>
      <c r="AG22" s="19">
        <f>AG16+AG19+AG20</f>
        <v>1050.4767365877706</v>
      </c>
      <c r="AH22" s="19">
        <f>AH16+AH19+AH20</f>
        <v>1069.9324344901374</v>
      </c>
      <c r="AI22" s="19">
        <f>AI16+AI19+AI20</f>
        <v>1089.0744614554333</v>
      </c>
      <c r="AJ22" s="19">
        <f>AJ16+AJ19+AJ20</f>
        <v>1107.9122276117703</v>
      </c>
      <c r="AK22" s="19">
        <f>AK16+AK19+AK20</f>
        <v>1126.4548607834172</v>
      </c>
      <c r="AL22" s="19">
        <f>AL16+AL19+AL20</f>
        <v>1144.7112149599147</v>
      </c>
    </row>
    <row r="23">
      <c r="A23" s="3" t="inlineStr">
        <is>
          <t>TOTAL REVENUE</t>
        </is>
      </c>
      <c r="C23" s="10">
        <f>C16+C17+C19+C20+C21</f>
        <v>3009.88</v>
      </c>
      <c r="D23" s="10">
        <f>D16+D17+D19+D20+D21</f>
        <v>1044.9536</v>
      </c>
      <c r="E23" s="10">
        <f>E16+E17+E19+E20+E21</f>
        <v>1079.244992</v>
      </c>
      <c r="F23" s="10">
        <f>F16+F17+F19+F20+F21</f>
        <v>1112.77764224</v>
      </c>
      <c r="G23" s="10">
        <f>G16+G17+G19+G20+G21</f>
        <v>1145.5743129728</v>
      </c>
      <c r="H23" s="10">
        <f>H16+H17+H19+H20+H21</f>
        <v>1177.657083583616</v>
      </c>
      <c r="I23" s="10">
        <f>I16+I17+I19+I20+I21</f>
        <v>1209.0473710761075</v>
      </c>
      <c r="J23" s="10">
        <f>J16+J17+J19+J20+J21</f>
        <v>1239.7659499438244</v>
      </c>
      <c r="K23" s="10">
        <f>K16+K17+K19+K20+K21</f>
        <v>1269.8329714455094</v>
      </c>
      <c r="L23" s="10">
        <f>L16+L17+L19+L20+L21</f>
        <v>1299.2679823021442</v>
      </c>
      <c r="M23" s="10">
        <f>M16+M17+M19+M20+M21</f>
        <v>1328.08994283308</v>
      </c>
      <c r="N23" s="10">
        <f>N16+N17+N19+N20+N21</f>
        <v>1356.3172445480875</v>
      </c>
      <c r="O23" s="10">
        <f>O16+O17+O19+O20+O21</f>
        <v>2133.967727211645</v>
      </c>
      <c r="P23" s="10">
        <f>P16+P17+P19+P20+P21</f>
        <v>2161.0586953952957</v>
      </c>
      <c r="Q23" s="10">
        <f>Q16+Q17+Q19+Q20+Q21</f>
        <v>2187.6069345334367</v>
      </c>
      <c r="R23" s="10">
        <f>R16+R17+R19+R20+R21</f>
        <v>2213.6287264974335</v>
      </c>
      <c r="S23" s="10">
        <f>S16+S17+S19+S20+S21</f>
        <v>2239.1398647025103</v>
      </c>
      <c r="T23" s="10">
        <f>T16+T17+T19+T20+T21</f>
        <v>2264.155668761435</v>
      </c>
      <c r="U23" s="10">
        <f>U16+U17+U19+U20+U21</f>
        <v>2288.6909986985925</v>
      </c>
      <c r="V23" s="10">
        <f>V16+V17+V19+V20+V21</f>
        <v>2312.7602687376348</v>
      </c>
      <c r="W23" s="10">
        <f>W16+W17+W19+W20+W21</f>
        <v>2336.3774606755055</v>
      </c>
      <c r="X23" s="10">
        <f>X16+X17+X19+X20+X21</f>
        <v>2359.55613685524</v>
      </c>
      <c r="Y23" s="10">
        <f>Y16+Y17+Y19+Y20+Y21</f>
        <v>2382.309452749583</v>
      </c>
      <c r="Z23" s="10">
        <f>Z16+Z17+Z19+Z20+Z21</f>
        <v>2404.6501691670956</v>
      </c>
      <c r="AA23" s="10">
        <f>AA16+AA17+AA19+AA20+AA21</f>
        <v>3176.5906640920825</v>
      </c>
      <c r="AB23" s="10">
        <f>AB16+AB17+AB19+AB20+AB21</f>
        <v>3198.1429441693203</v>
      </c>
      <c r="AC23" s="10">
        <f>AC16+AC17+AC19+AC20+AC21</f>
        <v>3219.3186558442403</v>
      </c>
      <c r="AD23" s="10">
        <f>AD16+AD17+AD19+AD20+AD21</f>
        <v>3240.1290961689133</v>
      </c>
      <c r="AE23" s="10">
        <f>AE16+AE17+AE19+AE20+AE21</f>
        <v>3260.585223283846</v>
      </c>
      <c r="AF23" s="10">
        <f>AF16+AF17+AF19+AF20+AF21</f>
        <v>3280.697666585331</v>
      </c>
      <c r="AG23" s="10">
        <f>AG16+AG17+AG19+AG20+AG21</f>
        <v>3300.4767365877706</v>
      </c>
      <c r="AH23" s="10">
        <f>AH16+AH17+AH19+AH20+AH21</f>
        <v>3319.9324344901374</v>
      </c>
      <c r="AI23" s="10">
        <f>AI16+AI17+AI19+AI20+AI21</f>
        <v>3339.0744614554333</v>
      </c>
      <c r="AJ23" s="10">
        <f>AJ16+AJ17+AJ19+AJ20+AJ21</f>
        <v>3357.9122276117705</v>
      </c>
      <c r="AK23" s="10">
        <f>AK16+AK17+AK19+AK20+AK21</f>
        <v>3376.454860783417</v>
      </c>
      <c r="AL23" s="10">
        <f>AL16+AL17+AL19+AL20+AL21</f>
        <v>3394.7112149599147</v>
      </c>
    </row>
    <row r="25">
      <c r="A25" s="1" t="inlineStr">
        <is>
          <t>COSTS BEFORE FOUNDERS</t>
        </is>
      </c>
    </row>
    <row r="26">
      <c r="A26" s="5" t="inlineStr">
        <is>
          <t>Hosting and tools</t>
        </is>
      </c>
      <c r="C26" s="18">
        <f>Inputs!$B$25</f>
        <v>150</v>
      </c>
      <c r="D26" s="18">
        <f>Inputs!$B$25</f>
        <v>150</v>
      </c>
      <c r="E26" s="18">
        <f>Inputs!$B$25</f>
        <v>150</v>
      </c>
      <c r="F26" s="18">
        <f>Inputs!$B$25</f>
        <v>150</v>
      </c>
      <c r="G26" s="18">
        <f>Inputs!$B$25</f>
        <v>150</v>
      </c>
      <c r="H26" s="18">
        <f>Inputs!$B$25</f>
        <v>150</v>
      </c>
      <c r="I26" s="18">
        <f>Inputs!$B$25</f>
        <v>150</v>
      </c>
      <c r="J26" s="18">
        <f>Inputs!$B$25</f>
        <v>150</v>
      </c>
      <c r="K26" s="18">
        <f>Inputs!$B$25</f>
        <v>150</v>
      </c>
      <c r="L26" s="18">
        <f>Inputs!$B$25</f>
        <v>150</v>
      </c>
      <c r="M26" s="18">
        <f>Inputs!$B$25</f>
        <v>150</v>
      </c>
      <c r="N26" s="18">
        <f>Inputs!$B$25</f>
        <v>150</v>
      </c>
      <c r="O26" s="18">
        <f>Inputs!$B$25</f>
        <v>150</v>
      </c>
      <c r="P26" s="18">
        <f>Inputs!$B$25</f>
        <v>150</v>
      </c>
      <c r="Q26" s="18">
        <f>Inputs!$B$25</f>
        <v>150</v>
      </c>
      <c r="R26" s="18">
        <f>Inputs!$B$25</f>
        <v>150</v>
      </c>
      <c r="S26" s="18">
        <f>Inputs!$B$25</f>
        <v>150</v>
      </c>
      <c r="T26" s="18">
        <f>Inputs!$B$25</f>
        <v>150</v>
      </c>
      <c r="U26" s="18">
        <f>Inputs!$B$25</f>
        <v>150</v>
      </c>
      <c r="V26" s="18">
        <f>Inputs!$B$25</f>
        <v>150</v>
      </c>
      <c r="W26" s="18">
        <f>Inputs!$B$25</f>
        <v>150</v>
      </c>
      <c r="X26" s="18">
        <f>Inputs!$B$25</f>
        <v>150</v>
      </c>
      <c r="Y26" s="18">
        <f>Inputs!$B$25</f>
        <v>150</v>
      </c>
      <c r="Z26" s="18">
        <f>Inputs!$B$25</f>
        <v>150</v>
      </c>
      <c r="AA26" s="18">
        <f>Inputs!$B$25</f>
        <v>150</v>
      </c>
      <c r="AB26" s="18">
        <f>Inputs!$B$25</f>
        <v>150</v>
      </c>
      <c r="AC26" s="18">
        <f>Inputs!$B$25</f>
        <v>150</v>
      </c>
      <c r="AD26" s="18">
        <f>Inputs!$B$25</f>
        <v>150</v>
      </c>
      <c r="AE26" s="18">
        <f>Inputs!$B$25</f>
        <v>150</v>
      </c>
      <c r="AF26" s="18">
        <f>Inputs!$B$25</f>
        <v>150</v>
      </c>
      <c r="AG26" s="18">
        <f>Inputs!$B$25</f>
        <v>150</v>
      </c>
      <c r="AH26" s="18">
        <f>Inputs!$B$25</f>
        <v>150</v>
      </c>
      <c r="AI26" s="18">
        <f>Inputs!$B$25</f>
        <v>150</v>
      </c>
      <c r="AJ26" s="18">
        <f>Inputs!$B$25</f>
        <v>150</v>
      </c>
      <c r="AK26" s="18">
        <f>Inputs!$B$25</f>
        <v>150</v>
      </c>
      <c r="AL26" s="18">
        <f>Inputs!$B$25</f>
        <v>150</v>
      </c>
    </row>
    <row r="27">
      <c r="A27" s="5" t="inlineStr">
        <is>
          <t>Payment processing</t>
        </is>
      </c>
      <c r="C27" s="18">
        <f>C18*Inputs!$B$26</f>
        <v>11.481599999999998</v>
      </c>
      <c r="D27" s="18">
        <f>D18*Inputs!$B$26</f>
        <v>15.255551999999998</v>
      </c>
      <c r="E27" s="18">
        <f>E18*Inputs!$B$26</f>
        <v>19.00268544</v>
      </c>
      <c r="F27" s="18">
        <f>F18*Inputs!$B$26</f>
        <v>22.723804876800003</v>
      </c>
      <c r="G27" s="18">
        <f>G18*Inputs!$B$26</f>
        <v>26.419690730496004</v>
      </c>
      <c r="H27" s="18">
        <f>H18*Inputs!$B$26</f>
        <v>30.091100008581122</v>
      </c>
      <c r="I27" s="18">
        <f>I18*Inputs!$B$26</f>
        <v>33.73876700832369</v>
      </c>
      <c r="J27" s="18">
        <f>J18*Inputs!$B$26</f>
        <v>37.36340399807398</v>
      </c>
      <c r="K27" s="18">
        <f>K18*Inputs!$B$26</f>
        <v>40.96570187813176</v>
      </c>
      <c r="L27" s="18">
        <f>L18*Inputs!$B$26</f>
        <v>44.5463308217878</v>
      </c>
      <c r="M27" s="18">
        <f>M18*Inputs!$B$26</f>
        <v>48.10594089713417</v>
      </c>
      <c r="N27" s="18">
        <f>N18*Inputs!$B$26</f>
        <v>51.645162670220145</v>
      </c>
      <c r="O27" s="18">
        <f>O18*Inputs!$B$26</f>
        <v>55.164607790113536</v>
      </c>
      <c r="P27" s="18">
        <f>P18*Inputs!$B$26</f>
        <v>58.66486955641014</v>
      </c>
      <c r="Q27" s="18">
        <f>Q18*Inputs!$B$26</f>
        <v>62.146523469717835</v>
      </c>
      <c r="R27" s="18">
        <f>R18*Inputs!$B$26</f>
        <v>65.6101277656263</v>
      </c>
      <c r="S27" s="18">
        <f>S18*Inputs!$B$26</f>
        <v>69.0562239326575</v>
      </c>
      <c r="T27" s="18">
        <f>T18*Inputs!$B$26</f>
        <v>72.48533721467778</v>
      </c>
      <c r="U27" s="18">
        <f>U18*Inputs!$B$26</f>
        <v>75.89797709823745</v>
      </c>
      <c r="V27" s="18">
        <f>V18*Inputs!$B$26</f>
        <v>79.29463778529032</v>
      </c>
      <c r="W27" s="18">
        <f>W18*Inputs!$B$26</f>
        <v>82.67579865173163</v>
      </c>
      <c r="X27" s="18">
        <f>X18*Inputs!$B$26</f>
        <v>86.04192469217966</v>
      </c>
      <c r="Y27" s="18">
        <f>Y18*Inputs!$B$26</f>
        <v>89.39346695141427</v>
      </c>
      <c r="Z27" s="18">
        <f>Z18*Inputs!$B$26</f>
        <v>92.73086294287184</v>
      </c>
      <c r="AA27" s="18">
        <f>AA18*Inputs!$B$26</f>
        <v>96.05453705458571</v>
      </c>
      <c r="AB27" s="18">
        <f>AB18*Inputs!$B$26</f>
        <v>99.36490094294813</v>
      </c>
      <c r="AC27" s="18">
        <f>AC18*Inputs!$B$26</f>
        <v>102.66235391465968</v>
      </c>
      <c r="AD27" s="18">
        <f>AD18*Inputs!$B$26</f>
        <v>105.94728329721988</v>
      </c>
      <c r="AE27" s="18">
        <f>AE18*Inputs!$B$26</f>
        <v>109.2200647983033</v>
      </c>
      <c r="AF27" s="18">
        <f>AF18*Inputs!$B$26</f>
        <v>112.48106285435418</v>
      </c>
      <c r="AG27" s="18">
        <f>AG18*Inputs!$B$26</f>
        <v>115.73063096872356</v>
      </c>
      <c r="AH27" s="18">
        <f>AH18*Inputs!$B$26</f>
        <v>118.96911203966187</v>
      </c>
      <c r="AI27" s="18">
        <f>AI18*Inputs!$B$26</f>
        <v>122.19683867847199</v>
      </c>
      <c r="AJ27" s="18">
        <f>AJ18*Inputs!$B$26</f>
        <v>125.41413351811784</v>
      </c>
      <c r="AK27" s="18">
        <f>AK18*Inputs!$B$26</f>
        <v>128.62130951257433</v>
      </c>
      <c r="AL27" s="18">
        <f>AL18*Inputs!$B$26</f>
        <v>131.8186702271971</v>
      </c>
    </row>
    <row r="28">
      <c r="A28" s="5" t="inlineStr">
        <is>
          <t>Bookkeeping and insurance</t>
        </is>
      </c>
      <c r="C28" s="18">
        <f>Inputs!$B$27</f>
        <v>125</v>
      </c>
      <c r="D28" s="18">
        <f>Inputs!$B$27</f>
        <v>125</v>
      </c>
      <c r="E28" s="18">
        <f>Inputs!$B$27</f>
        <v>125</v>
      </c>
      <c r="F28" s="18">
        <f>Inputs!$B$27</f>
        <v>125</v>
      </c>
      <c r="G28" s="18">
        <f>Inputs!$B$27</f>
        <v>125</v>
      </c>
      <c r="H28" s="18">
        <f>Inputs!$B$27</f>
        <v>125</v>
      </c>
      <c r="I28" s="18">
        <f>Inputs!$B$27</f>
        <v>125</v>
      </c>
      <c r="J28" s="18">
        <f>Inputs!$B$27</f>
        <v>125</v>
      </c>
      <c r="K28" s="18">
        <f>Inputs!$B$27</f>
        <v>125</v>
      </c>
      <c r="L28" s="18">
        <f>Inputs!$B$27</f>
        <v>125</v>
      </c>
      <c r="M28" s="18">
        <f>Inputs!$B$27</f>
        <v>125</v>
      </c>
      <c r="N28" s="18">
        <f>Inputs!$B$27</f>
        <v>125</v>
      </c>
      <c r="O28" s="18">
        <f>Inputs!$B$27</f>
        <v>125</v>
      </c>
      <c r="P28" s="18">
        <f>Inputs!$B$27</f>
        <v>125</v>
      </c>
      <c r="Q28" s="18">
        <f>Inputs!$B$27</f>
        <v>125</v>
      </c>
      <c r="R28" s="18">
        <f>Inputs!$B$27</f>
        <v>125</v>
      </c>
      <c r="S28" s="18">
        <f>Inputs!$B$27</f>
        <v>125</v>
      </c>
      <c r="T28" s="18">
        <f>Inputs!$B$27</f>
        <v>125</v>
      </c>
      <c r="U28" s="18">
        <f>Inputs!$B$27</f>
        <v>125</v>
      </c>
      <c r="V28" s="18">
        <f>Inputs!$B$27</f>
        <v>125</v>
      </c>
      <c r="W28" s="18">
        <f>Inputs!$B$27</f>
        <v>125</v>
      </c>
      <c r="X28" s="18">
        <f>Inputs!$B$27</f>
        <v>125</v>
      </c>
      <c r="Y28" s="18">
        <f>Inputs!$B$27</f>
        <v>125</v>
      </c>
      <c r="Z28" s="18">
        <f>Inputs!$B$27</f>
        <v>125</v>
      </c>
      <c r="AA28" s="18">
        <f>Inputs!$B$27</f>
        <v>125</v>
      </c>
      <c r="AB28" s="18">
        <f>Inputs!$B$27</f>
        <v>125</v>
      </c>
      <c r="AC28" s="18">
        <f>Inputs!$B$27</f>
        <v>125</v>
      </c>
      <c r="AD28" s="18">
        <f>Inputs!$B$27</f>
        <v>125</v>
      </c>
      <c r="AE28" s="18">
        <f>Inputs!$B$27</f>
        <v>125</v>
      </c>
      <c r="AF28" s="18">
        <f>Inputs!$B$27</f>
        <v>125</v>
      </c>
      <c r="AG28" s="18">
        <f>Inputs!$B$27</f>
        <v>125</v>
      </c>
      <c r="AH28" s="18">
        <f>Inputs!$B$27</f>
        <v>125</v>
      </c>
      <c r="AI28" s="18">
        <f>Inputs!$B$27</f>
        <v>125</v>
      </c>
      <c r="AJ28" s="18">
        <f>Inputs!$B$27</f>
        <v>125</v>
      </c>
      <c r="AK28" s="18">
        <f>Inputs!$B$27</f>
        <v>125</v>
      </c>
      <c r="AL28" s="18">
        <f>Inputs!$B$27</f>
        <v>125</v>
      </c>
    </row>
    <row r="29">
      <c r="A29" s="5" t="inlineStr">
        <is>
          <t>Formation, franchise taxes, tax return</t>
        </is>
      </c>
      <c r="C29" s="18">
        <f>Inputs!$B$28</f>
        <v>700</v>
      </c>
      <c r="D29" s="18">
        <f>0</f>
        <v>0</v>
      </c>
      <c r="E29" s="18">
        <f>0</f>
        <v>0</v>
      </c>
      <c r="F29" s="18">
        <f>0</f>
        <v>0</v>
      </c>
      <c r="G29" s="18">
        <f>Inputs!$B$29+Inputs!$B$31</f>
        <v>1250</v>
      </c>
      <c r="H29" s="18">
        <f>0</f>
        <v>0</v>
      </c>
      <c r="I29" s="18">
        <f>0</f>
        <v>0</v>
      </c>
      <c r="J29" s="18">
        <f>0</f>
        <v>0</v>
      </c>
      <c r="K29" s="18">
        <f>0</f>
        <v>0</v>
      </c>
      <c r="L29" s="18">
        <f>0</f>
        <v>0</v>
      </c>
      <c r="M29" s="18">
        <f>0</f>
        <v>0</v>
      </c>
      <c r="N29" s="18">
        <f>0</f>
        <v>0</v>
      </c>
      <c r="O29" s="18">
        <f>Inputs!$B$30</f>
        <v>800</v>
      </c>
      <c r="P29" s="18">
        <f>0</f>
        <v>0</v>
      </c>
      <c r="Q29" s="18">
        <f>0</f>
        <v>0</v>
      </c>
      <c r="R29" s="18">
        <f>0</f>
        <v>0</v>
      </c>
      <c r="S29" s="18">
        <f>Inputs!$B$29+Inputs!$B$31</f>
        <v>1250</v>
      </c>
      <c r="T29" s="18">
        <f>0</f>
        <v>0</v>
      </c>
      <c r="U29" s="18">
        <f>0</f>
        <v>0</v>
      </c>
      <c r="V29" s="18">
        <f>0</f>
        <v>0</v>
      </c>
      <c r="W29" s="18">
        <f>0</f>
        <v>0</v>
      </c>
      <c r="X29" s="18">
        <f>0</f>
        <v>0</v>
      </c>
      <c r="Y29" s="18">
        <f>0</f>
        <v>0</v>
      </c>
      <c r="Z29" s="18">
        <f>0</f>
        <v>0</v>
      </c>
      <c r="AA29" s="18">
        <f>Inputs!$B$30</f>
        <v>800</v>
      </c>
      <c r="AB29" s="18">
        <f>0</f>
        <v>0</v>
      </c>
      <c r="AC29" s="18">
        <f>0</f>
        <v>0</v>
      </c>
      <c r="AD29" s="18">
        <f>0</f>
        <v>0</v>
      </c>
      <c r="AE29" s="18">
        <f>Inputs!$B$29+Inputs!$B$31</f>
        <v>1250</v>
      </c>
      <c r="AF29" s="18">
        <f>0</f>
        <v>0</v>
      </c>
      <c r="AG29" s="18">
        <f>0</f>
        <v>0</v>
      </c>
      <c r="AH29" s="18">
        <f>0</f>
        <v>0</v>
      </c>
      <c r="AI29" s="18">
        <f>0</f>
        <v>0</v>
      </c>
      <c r="AJ29" s="18">
        <f>0</f>
        <v>0</v>
      </c>
      <c r="AK29" s="18">
        <f>0</f>
        <v>0</v>
      </c>
      <c r="AL29" s="18">
        <f>0</f>
        <v>0</v>
      </c>
    </row>
    <row r="30">
      <c r="A30" s="5" t="inlineStr">
        <is>
          <t>Contractors</t>
        </is>
      </c>
      <c r="C30" s="18">
        <f>Inputs!$B$32</f>
        <v>0</v>
      </c>
      <c r="D30" s="18">
        <f>Inputs!$B$32</f>
        <v>0</v>
      </c>
      <c r="E30" s="18">
        <f>Inputs!$B$32</f>
        <v>0</v>
      </c>
      <c r="F30" s="18">
        <f>Inputs!$B$32</f>
        <v>0</v>
      </c>
      <c r="G30" s="18">
        <f>Inputs!$B$32</f>
        <v>0</v>
      </c>
      <c r="H30" s="18">
        <f>Inputs!$B$32</f>
        <v>0</v>
      </c>
      <c r="I30" s="18">
        <f>Inputs!$B$32</f>
        <v>0</v>
      </c>
      <c r="J30" s="18">
        <f>Inputs!$B$32</f>
        <v>0</v>
      </c>
      <c r="K30" s="18">
        <f>Inputs!$B$32</f>
        <v>0</v>
      </c>
      <c r="L30" s="18">
        <f>Inputs!$B$32</f>
        <v>0</v>
      </c>
      <c r="M30" s="18">
        <f>Inputs!$B$32</f>
        <v>0</v>
      </c>
      <c r="N30" s="18">
        <f>Inputs!$B$32</f>
        <v>0</v>
      </c>
      <c r="O30" s="18">
        <f>Inputs!$B$32</f>
        <v>0</v>
      </c>
      <c r="P30" s="18">
        <f>Inputs!$B$32</f>
        <v>0</v>
      </c>
      <c r="Q30" s="18">
        <f>Inputs!$B$32</f>
        <v>0</v>
      </c>
      <c r="R30" s="18">
        <f>Inputs!$B$32</f>
        <v>0</v>
      </c>
      <c r="S30" s="18">
        <f>Inputs!$B$32</f>
        <v>0</v>
      </c>
      <c r="T30" s="18">
        <f>Inputs!$B$32</f>
        <v>0</v>
      </c>
      <c r="U30" s="18">
        <f>Inputs!$B$32</f>
        <v>0</v>
      </c>
      <c r="V30" s="18">
        <f>Inputs!$B$32</f>
        <v>0</v>
      </c>
      <c r="W30" s="18">
        <f>Inputs!$B$32</f>
        <v>0</v>
      </c>
      <c r="X30" s="18">
        <f>Inputs!$B$32</f>
        <v>0</v>
      </c>
      <c r="Y30" s="18">
        <f>Inputs!$B$32</f>
        <v>0</v>
      </c>
      <c r="Z30" s="18">
        <f>Inputs!$B$32</f>
        <v>0</v>
      </c>
      <c r="AA30" s="18">
        <f>Inputs!$B$32</f>
        <v>0</v>
      </c>
      <c r="AB30" s="18">
        <f>Inputs!$B$32</f>
        <v>0</v>
      </c>
      <c r="AC30" s="18">
        <f>Inputs!$B$32</f>
        <v>0</v>
      </c>
      <c r="AD30" s="18">
        <f>Inputs!$B$32</f>
        <v>0</v>
      </c>
      <c r="AE30" s="18">
        <f>Inputs!$B$32</f>
        <v>0</v>
      </c>
      <c r="AF30" s="18">
        <f>Inputs!$B$32</f>
        <v>0</v>
      </c>
      <c r="AG30" s="18">
        <f>Inputs!$B$32</f>
        <v>0</v>
      </c>
      <c r="AH30" s="18">
        <f>Inputs!$B$32</f>
        <v>0</v>
      </c>
      <c r="AI30" s="18">
        <f>Inputs!$B$32</f>
        <v>0</v>
      </c>
      <c r="AJ30" s="18">
        <f>Inputs!$B$32</f>
        <v>0</v>
      </c>
      <c r="AK30" s="18">
        <f>Inputs!$B$32</f>
        <v>0</v>
      </c>
      <c r="AL30" s="18">
        <f>Inputs!$B$32</f>
        <v>0</v>
      </c>
    </row>
    <row r="31">
      <c r="A31" s="5" t="inlineStr">
        <is>
          <t>Marketing: paid acquisition</t>
        </is>
      </c>
      <c r="C31" s="6">
        <f>Inputs!$B$37</f>
        <v>0</v>
      </c>
      <c r="D31" s="6">
        <f>Inputs!$B$37</f>
        <v>0</v>
      </c>
      <c r="E31" s="6">
        <f>Inputs!$B$37</f>
        <v>0</v>
      </c>
      <c r="F31" s="6">
        <f>Inputs!$B$37</f>
        <v>0</v>
      </c>
      <c r="G31" s="6">
        <f>Inputs!$B$37</f>
        <v>0</v>
      </c>
      <c r="H31" s="6">
        <f>Inputs!$B$37</f>
        <v>0</v>
      </c>
      <c r="I31" s="6">
        <f>Inputs!$B$37</f>
        <v>0</v>
      </c>
      <c r="J31" s="6">
        <f>Inputs!$B$37</f>
        <v>0</v>
      </c>
      <c r="K31" s="6">
        <f>Inputs!$B$37</f>
        <v>0</v>
      </c>
      <c r="L31" s="6">
        <f>Inputs!$B$37</f>
        <v>0</v>
      </c>
      <c r="M31" s="6">
        <f>Inputs!$B$37</f>
        <v>0</v>
      </c>
      <c r="N31" s="6">
        <f>Inputs!$B$37</f>
        <v>0</v>
      </c>
      <c r="O31" s="6">
        <f>Inputs!$B$37</f>
        <v>0</v>
      </c>
      <c r="P31" s="6">
        <f>Inputs!$B$37</f>
        <v>0</v>
      </c>
      <c r="Q31" s="6">
        <f>Inputs!$B$37</f>
        <v>0</v>
      </c>
      <c r="R31" s="6">
        <f>Inputs!$B$37</f>
        <v>0</v>
      </c>
      <c r="S31" s="6">
        <f>Inputs!$B$37</f>
        <v>0</v>
      </c>
      <c r="T31" s="6">
        <f>Inputs!$B$37</f>
        <v>0</v>
      </c>
      <c r="U31" s="6">
        <f>Inputs!$B$37</f>
        <v>0</v>
      </c>
      <c r="V31" s="6">
        <f>Inputs!$B$37</f>
        <v>0</v>
      </c>
      <c r="W31" s="6">
        <f>Inputs!$B$37</f>
        <v>0</v>
      </c>
      <c r="X31" s="6">
        <f>Inputs!$B$37</f>
        <v>0</v>
      </c>
      <c r="Y31" s="6">
        <f>Inputs!$B$37</f>
        <v>0</v>
      </c>
      <c r="Z31" s="6">
        <f>Inputs!$B$37</f>
        <v>0</v>
      </c>
      <c r="AA31" s="6">
        <f>Inputs!$B$37</f>
        <v>0</v>
      </c>
      <c r="AB31" s="6">
        <f>Inputs!$B$37</f>
        <v>0</v>
      </c>
      <c r="AC31" s="6">
        <f>Inputs!$B$37</f>
        <v>0</v>
      </c>
      <c r="AD31" s="6">
        <f>Inputs!$B$37</f>
        <v>0</v>
      </c>
      <c r="AE31" s="6">
        <f>Inputs!$B$37</f>
        <v>0</v>
      </c>
      <c r="AF31" s="6">
        <f>Inputs!$B$37</f>
        <v>0</v>
      </c>
      <c r="AG31" s="6">
        <f>Inputs!$B$37</f>
        <v>0</v>
      </c>
      <c r="AH31" s="6">
        <f>Inputs!$B$37</f>
        <v>0</v>
      </c>
      <c r="AI31" s="6">
        <f>Inputs!$B$37</f>
        <v>0</v>
      </c>
      <c r="AJ31" s="6">
        <f>Inputs!$B$37</f>
        <v>0</v>
      </c>
      <c r="AK31" s="6">
        <f>Inputs!$B$37</f>
        <v>0</v>
      </c>
      <c r="AL31" s="6">
        <f>Inputs!$B$37</f>
        <v>0</v>
      </c>
    </row>
    <row r="32">
      <c r="A32" s="5" t="inlineStr">
        <is>
          <t>Marketing: gatherings</t>
        </is>
      </c>
      <c r="C32" s="6">
        <f>Inputs!$B$39*Inputs!$B$40</f>
        <v>150</v>
      </c>
      <c r="D32" s="6">
        <f>Inputs!$B$39*Inputs!$B$40</f>
        <v>150</v>
      </c>
      <c r="E32" s="6">
        <f>Inputs!$B$39*Inputs!$B$40</f>
        <v>150</v>
      </c>
      <c r="F32" s="6">
        <f>Inputs!$B$39*Inputs!$B$40</f>
        <v>150</v>
      </c>
      <c r="G32" s="6">
        <f>Inputs!$B$39*Inputs!$B$40</f>
        <v>150</v>
      </c>
      <c r="H32" s="6">
        <f>Inputs!$B$39*Inputs!$B$40</f>
        <v>150</v>
      </c>
      <c r="I32" s="6">
        <f>Inputs!$B$39*Inputs!$B$40</f>
        <v>150</v>
      </c>
      <c r="J32" s="6">
        <f>Inputs!$B$39*Inputs!$B$40</f>
        <v>150</v>
      </c>
      <c r="K32" s="6">
        <f>Inputs!$B$39*Inputs!$B$40</f>
        <v>150</v>
      </c>
      <c r="L32" s="6">
        <f>Inputs!$B$39*Inputs!$B$40</f>
        <v>150</v>
      </c>
      <c r="M32" s="6">
        <f>Inputs!$B$39*Inputs!$B$40</f>
        <v>150</v>
      </c>
      <c r="N32" s="6">
        <f>Inputs!$B$39*Inputs!$B$40</f>
        <v>150</v>
      </c>
      <c r="O32" s="6">
        <f>Inputs!$B$39*Inputs!$B$40</f>
        <v>150</v>
      </c>
      <c r="P32" s="6">
        <f>Inputs!$B$39*Inputs!$B$40</f>
        <v>150</v>
      </c>
      <c r="Q32" s="6">
        <f>Inputs!$B$39*Inputs!$B$40</f>
        <v>150</v>
      </c>
      <c r="R32" s="6">
        <f>Inputs!$B$39*Inputs!$B$40</f>
        <v>150</v>
      </c>
      <c r="S32" s="6">
        <f>Inputs!$B$39*Inputs!$B$40</f>
        <v>150</v>
      </c>
      <c r="T32" s="6">
        <f>Inputs!$B$39*Inputs!$B$40</f>
        <v>150</v>
      </c>
      <c r="U32" s="6">
        <f>Inputs!$B$39*Inputs!$B$40</f>
        <v>150</v>
      </c>
      <c r="V32" s="6">
        <f>Inputs!$B$39*Inputs!$B$40</f>
        <v>150</v>
      </c>
      <c r="W32" s="6">
        <f>Inputs!$B$39*Inputs!$B$40</f>
        <v>150</v>
      </c>
      <c r="X32" s="6">
        <f>Inputs!$B$39*Inputs!$B$40</f>
        <v>150</v>
      </c>
      <c r="Y32" s="6">
        <f>Inputs!$B$39*Inputs!$B$40</f>
        <v>150</v>
      </c>
      <c r="Z32" s="6">
        <f>Inputs!$B$39*Inputs!$B$40</f>
        <v>150</v>
      </c>
      <c r="AA32" s="6">
        <f>Inputs!$B$39*Inputs!$B$40</f>
        <v>150</v>
      </c>
      <c r="AB32" s="6">
        <f>Inputs!$B$39*Inputs!$B$40</f>
        <v>150</v>
      </c>
      <c r="AC32" s="6">
        <f>Inputs!$B$39*Inputs!$B$40</f>
        <v>150</v>
      </c>
      <c r="AD32" s="6">
        <f>Inputs!$B$39*Inputs!$B$40</f>
        <v>150</v>
      </c>
      <c r="AE32" s="6">
        <f>Inputs!$B$39*Inputs!$B$40</f>
        <v>150</v>
      </c>
      <c r="AF32" s="6">
        <f>Inputs!$B$39*Inputs!$B$40</f>
        <v>150</v>
      </c>
      <c r="AG32" s="6">
        <f>Inputs!$B$39*Inputs!$B$40</f>
        <v>150</v>
      </c>
      <c r="AH32" s="6">
        <f>Inputs!$B$39*Inputs!$B$40</f>
        <v>150</v>
      </c>
      <c r="AI32" s="6">
        <f>Inputs!$B$39*Inputs!$B$40</f>
        <v>150</v>
      </c>
      <c r="AJ32" s="6">
        <f>Inputs!$B$39*Inputs!$B$40</f>
        <v>150</v>
      </c>
      <c r="AK32" s="6">
        <f>Inputs!$B$39*Inputs!$B$40</f>
        <v>150</v>
      </c>
      <c r="AL32" s="6">
        <f>Inputs!$B$39*Inputs!$B$40</f>
        <v>150</v>
      </c>
    </row>
    <row r="33">
      <c r="A33" s="5" t="inlineStr">
        <is>
          <t>Marketing: content and tools</t>
        </is>
      </c>
      <c r="C33" s="6">
        <f>Inputs!$B$41</f>
        <v>0</v>
      </c>
      <c r="D33" s="6">
        <f>Inputs!$B$41</f>
        <v>0</v>
      </c>
      <c r="E33" s="6">
        <f>Inputs!$B$41</f>
        <v>0</v>
      </c>
      <c r="F33" s="6">
        <f>Inputs!$B$41</f>
        <v>0</v>
      </c>
      <c r="G33" s="6">
        <f>Inputs!$B$41</f>
        <v>0</v>
      </c>
      <c r="H33" s="6">
        <f>Inputs!$B$41</f>
        <v>0</v>
      </c>
      <c r="I33" s="6">
        <f>Inputs!$B$41</f>
        <v>0</v>
      </c>
      <c r="J33" s="6">
        <f>Inputs!$B$41</f>
        <v>0</v>
      </c>
      <c r="K33" s="6">
        <f>Inputs!$B$41</f>
        <v>0</v>
      </c>
      <c r="L33" s="6">
        <f>Inputs!$B$41</f>
        <v>0</v>
      </c>
      <c r="M33" s="6">
        <f>Inputs!$B$41</f>
        <v>0</v>
      </c>
      <c r="N33" s="6">
        <f>Inputs!$B$41</f>
        <v>0</v>
      </c>
      <c r="O33" s="6">
        <f>Inputs!$B$41</f>
        <v>0</v>
      </c>
      <c r="P33" s="6">
        <f>Inputs!$B$41</f>
        <v>0</v>
      </c>
      <c r="Q33" s="6">
        <f>Inputs!$B$41</f>
        <v>0</v>
      </c>
      <c r="R33" s="6">
        <f>Inputs!$B$41</f>
        <v>0</v>
      </c>
      <c r="S33" s="6">
        <f>Inputs!$B$41</f>
        <v>0</v>
      </c>
      <c r="T33" s="6">
        <f>Inputs!$B$41</f>
        <v>0</v>
      </c>
      <c r="U33" s="6">
        <f>Inputs!$B$41</f>
        <v>0</v>
      </c>
      <c r="V33" s="6">
        <f>Inputs!$B$41</f>
        <v>0</v>
      </c>
      <c r="W33" s="6">
        <f>Inputs!$B$41</f>
        <v>0</v>
      </c>
      <c r="X33" s="6">
        <f>Inputs!$B$41</f>
        <v>0</v>
      </c>
      <c r="Y33" s="6">
        <f>Inputs!$B$41</f>
        <v>0</v>
      </c>
      <c r="Z33" s="6">
        <f>Inputs!$B$41</f>
        <v>0</v>
      </c>
      <c r="AA33" s="6">
        <f>Inputs!$B$41</f>
        <v>0</v>
      </c>
      <c r="AB33" s="6">
        <f>Inputs!$B$41</f>
        <v>0</v>
      </c>
      <c r="AC33" s="6">
        <f>Inputs!$B$41</f>
        <v>0</v>
      </c>
      <c r="AD33" s="6">
        <f>Inputs!$B$41</f>
        <v>0</v>
      </c>
      <c r="AE33" s="6">
        <f>Inputs!$B$41</f>
        <v>0</v>
      </c>
      <c r="AF33" s="6">
        <f>Inputs!$B$41</f>
        <v>0</v>
      </c>
      <c r="AG33" s="6">
        <f>Inputs!$B$41</f>
        <v>0</v>
      </c>
      <c r="AH33" s="6">
        <f>Inputs!$B$41</f>
        <v>0</v>
      </c>
      <c r="AI33" s="6">
        <f>Inputs!$B$41</f>
        <v>0</v>
      </c>
      <c r="AJ33" s="6">
        <f>Inputs!$B$41</f>
        <v>0</v>
      </c>
      <c r="AK33" s="6">
        <f>Inputs!$B$41</f>
        <v>0</v>
      </c>
      <c r="AL33" s="6">
        <f>Inputs!$B$41</f>
        <v>0</v>
      </c>
    </row>
    <row r="34">
      <c r="A34" s="5" t="inlineStr">
        <is>
          <t>Marketing: November 6 and the film series</t>
        </is>
      </c>
      <c r="C34" s="6">
        <f>Inputs!$B$42</f>
        <v>1500</v>
      </c>
      <c r="D34" s="6">
        <f>0</f>
        <v>0</v>
      </c>
      <c r="E34" s="6">
        <f>Inputs!$B$43</f>
        <v>0</v>
      </c>
      <c r="F34" s="6">
        <f>0</f>
        <v>0</v>
      </c>
      <c r="G34" s="6">
        <f>0</f>
        <v>0</v>
      </c>
      <c r="H34" s="6">
        <f>0</f>
        <v>0</v>
      </c>
      <c r="I34" s="6">
        <f>0</f>
        <v>0</v>
      </c>
      <c r="J34" s="6">
        <f>0</f>
        <v>0</v>
      </c>
      <c r="K34" s="6">
        <f>0</f>
        <v>0</v>
      </c>
      <c r="L34" s="6">
        <f>0</f>
        <v>0</v>
      </c>
      <c r="M34" s="6">
        <f>0</f>
        <v>0</v>
      </c>
      <c r="N34" s="6">
        <f>0</f>
        <v>0</v>
      </c>
      <c r="O34" s="6">
        <f>0</f>
        <v>0</v>
      </c>
      <c r="P34" s="6">
        <f>0</f>
        <v>0</v>
      </c>
      <c r="Q34" s="6">
        <f>0</f>
        <v>0</v>
      </c>
      <c r="R34" s="6">
        <f>0</f>
        <v>0</v>
      </c>
      <c r="S34" s="6">
        <f>0</f>
        <v>0</v>
      </c>
      <c r="T34" s="6">
        <f>0</f>
        <v>0</v>
      </c>
      <c r="U34" s="6">
        <f>0</f>
        <v>0</v>
      </c>
      <c r="V34" s="6">
        <f>0</f>
        <v>0</v>
      </c>
      <c r="W34" s="6">
        <f>0</f>
        <v>0</v>
      </c>
      <c r="X34" s="6">
        <f>0</f>
        <v>0</v>
      </c>
      <c r="Y34" s="6">
        <f>0</f>
        <v>0</v>
      </c>
      <c r="Z34" s="6">
        <f>0</f>
        <v>0</v>
      </c>
      <c r="AA34" s="6">
        <f>0</f>
        <v>0</v>
      </c>
      <c r="AB34" s="6">
        <f>0</f>
        <v>0</v>
      </c>
      <c r="AC34" s="6">
        <f>0</f>
        <v>0</v>
      </c>
      <c r="AD34" s="6">
        <f>0</f>
        <v>0</v>
      </c>
      <c r="AE34" s="6">
        <f>0</f>
        <v>0</v>
      </c>
      <c r="AF34" s="6">
        <f>0</f>
        <v>0</v>
      </c>
      <c r="AG34" s="6">
        <f>0</f>
        <v>0</v>
      </c>
      <c r="AH34" s="6">
        <f>0</f>
        <v>0</v>
      </c>
      <c r="AI34" s="6">
        <f>0</f>
        <v>0</v>
      </c>
      <c r="AJ34" s="6">
        <f>0</f>
        <v>0</v>
      </c>
      <c r="AK34" s="6">
        <f>0</f>
        <v>0</v>
      </c>
      <c r="AL34" s="6">
        <f>0</f>
        <v>0</v>
      </c>
    </row>
    <row r="35">
      <c r="A35" s="3" t="inlineStr">
        <is>
          <t>TOTAL COSTS BEFORE FOUNDERS</t>
        </is>
      </c>
      <c r="C35" s="10">
        <f>SUM(C26:C34)</f>
        <v>2636.4816</v>
      </c>
      <c r="D35" s="10">
        <f>SUM(D26:D34)</f>
        <v>440.25555199999997</v>
      </c>
      <c r="E35" s="10">
        <f>SUM(E26:E34)</f>
        <v>444.00268544</v>
      </c>
      <c r="F35" s="10">
        <f>SUM(F26:F34)</f>
        <v>447.7238048768</v>
      </c>
      <c r="G35" s="10">
        <f>SUM(G26:G34)</f>
        <v>1701.4196907304959</v>
      </c>
      <c r="H35" s="10">
        <f>SUM(H26:H34)</f>
        <v>455.0911000085811</v>
      </c>
      <c r="I35" s="10">
        <f>SUM(I26:I34)</f>
        <v>458.7387670083237</v>
      </c>
      <c r="J35" s="10">
        <f>SUM(J26:J34)</f>
        <v>462.363403998074</v>
      </c>
      <c r="K35" s="10">
        <f>SUM(K26:K34)</f>
        <v>465.96570187813177</v>
      </c>
      <c r="L35" s="10">
        <f>SUM(L26:L34)</f>
        <v>469.5463308217878</v>
      </c>
      <c r="M35" s="10">
        <f>SUM(M26:M34)</f>
        <v>473.10594089713413</v>
      </c>
      <c r="N35" s="10">
        <f>SUM(N26:N34)</f>
        <v>476.64516267022015</v>
      </c>
      <c r="O35" s="10">
        <f>SUM(O26:O34)</f>
        <v>1280.1646077901137</v>
      </c>
      <c r="P35" s="10">
        <f>SUM(P26:P34)</f>
        <v>483.66486955641017</v>
      </c>
      <c r="Q35" s="10">
        <f>SUM(Q26:Q34)</f>
        <v>487.14652346971786</v>
      </c>
      <c r="R35" s="10">
        <f>SUM(R26:R34)</f>
        <v>490.6101277656263</v>
      </c>
      <c r="S35" s="10">
        <f>SUM(S26:S34)</f>
        <v>1744.0562239326575</v>
      </c>
      <c r="T35" s="10">
        <f>SUM(T26:T34)</f>
        <v>497.48533721467777</v>
      </c>
      <c r="U35" s="10">
        <f>SUM(U26:U34)</f>
        <v>500.89797709823745</v>
      </c>
      <c r="V35" s="10">
        <f>SUM(V26:V34)</f>
        <v>504.2946377852903</v>
      </c>
      <c r="W35" s="10">
        <f>SUM(W26:W34)</f>
        <v>507.6757986517316</v>
      </c>
      <c r="X35" s="10">
        <f>SUM(X26:X34)</f>
        <v>511.0419246921797</v>
      </c>
      <c r="Y35" s="10">
        <f>SUM(Y26:Y34)</f>
        <v>514.3934669514142</v>
      </c>
      <c r="Z35" s="10">
        <f>SUM(Z26:Z34)</f>
        <v>517.7308629428719</v>
      </c>
      <c r="AA35" s="10">
        <f>SUM(AA26:AA34)</f>
        <v>1321.0545370545856</v>
      </c>
      <c r="AB35" s="10">
        <f>SUM(AB26:AB34)</f>
        <v>524.3649009429481</v>
      </c>
      <c r="AC35" s="10">
        <f>SUM(AC26:AC34)</f>
        <v>527.6623539146597</v>
      </c>
      <c r="AD35" s="10">
        <f>SUM(AD26:AD34)</f>
        <v>530.9472832972199</v>
      </c>
      <c r="AE35" s="10">
        <f>SUM(AE26:AE34)</f>
        <v>1784.2200647983032</v>
      </c>
      <c r="AF35" s="10">
        <f>SUM(AF26:AF34)</f>
        <v>537.4810628543541</v>
      </c>
      <c r="AG35" s="10">
        <f>SUM(AG26:AG34)</f>
        <v>540.7306309687235</v>
      </c>
      <c r="AH35" s="10">
        <f>SUM(AH26:AH34)</f>
        <v>543.9691120396619</v>
      </c>
      <c r="AI35" s="10">
        <f>SUM(AI26:AI34)</f>
        <v>547.196838678472</v>
      </c>
      <c r="AJ35" s="10">
        <f>SUM(AJ26:AJ34)</f>
        <v>550.4141335181179</v>
      </c>
      <c r="AK35" s="10">
        <f>SUM(AK26:AK34)</f>
        <v>553.6213095125743</v>
      </c>
      <c r="AL35" s="10">
        <f>SUM(AL26:AL34)</f>
        <v>556.8186702271971</v>
      </c>
    </row>
    <row r="36">
      <c r="A36" s="5" t="inlineStr">
        <is>
          <t xml:space="preserve">  of which marketing</t>
        </is>
      </c>
      <c r="C36" s="19">
        <f>SUM(C31:C34)</f>
        <v>1650</v>
      </c>
      <c r="D36" s="19">
        <f>SUM(D31:D34)</f>
        <v>150</v>
      </c>
      <c r="E36" s="19">
        <f>SUM(E31:E34)</f>
        <v>150</v>
      </c>
      <c r="F36" s="19">
        <f>SUM(F31:F34)</f>
        <v>150</v>
      </c>
      <c r="G36" s="19">
        <f>SUM(G31:G34)</f>
        <v>150</v>
      </c>
      <c r="H36" s="19">
        <f>SUM(H31:H34)</f>
        <v>150</v>
      </c>
      <c r="I36" s="19">
        <f>SUM(I31:I34)</f>
        <v>150</v>
      </c>
      <c r="J36" s="19">
        <f>SUM(J31:J34)</f>
        <v>150</v>
      </c>
      <c r="K36" s="19">
        <f>SUM(K31:K34)</f>
        <v>150</v>
      </c>
      <c r="L36" s="19">
        <f>SUM(L31:L34)</f>
        <v>150</v>
      </c>
      <c r="M36" s="19">
        <f>SUM(M31:M34)</f>
        <v>150</v>
      </c>
      <c r="N36" s="19">
        <f>SUM(N31:N34)</f>
        <v>150</v>
      </c>
      <c r="O36" s="19">
        <f>SUM(O31:O34)</f>
        <v>150</v>
      </c>
      <c r="P36" s="19">
        <f>SUM(P31:P34)</f>
        <v>150</v>
      </c>
      <c r="Q36" s="19">
        <f>SUM(Q31:Q34)</f>
        <v>150</v>
      </c>
      <c r="R36" s="19">
        <f>SUM(R31:R34)</f>
        <v>150</v>
      </c>
      <c r="S36" s="19">
        <f>SUM(S31:S34)</f>
        <v>150</v>
      </c>
      <c r="T36" s="19">
        <f>SUM(T31:T34)</f>
        <v>150</v>
      </c>
      <c r="U36" s="19">
        <f>SUM(U31:U34)</f>
        <v>150</v>
      </c>
      <c r="V36" s="19">
        <f>SUM(V31:V34)</f>
        <v>150</v>
      </c>
      <c r="W36" s="19">
        <f>SUM(W31:W34)</f>
        <v>150</v>
      </c>
      <c r="X36" s="19">
        <f>SUM(X31:X34)</f>
        <v>150</v>
      </c>
      <c r="Y36" s="19">
        <f>SUM(Y31:Y34)</f>
        <v>150</v>
      </c>
      <c r="Z36" s="19">
        <f>SUM(Z31:Z34)</f>
        <v>150</v>
      </c>
      <c r="AA36" s="19">
        <f>SUM(AA31:AA34)</f>
        <v>150</v>
      </c>
      <c r="AB36" s="19">
        <f>SUM(AB31:AB34)</f>
        <v>150</v>
      </c>
      <c r="AC36" s="19">
        <f>SUM(AC31:AC34)</f>
        <v>150</v>
      </c>
      <c r="AD36" s="19">
        <f>SUM(AD31:AD34)</f>
        <v>150</v>
      </c>
      <c r="AE36" s="19">
        <f>SUM(AE31:AE34)</f>
        <v>150</v>
      </c>
      <c r="AF36" s="19">
        <f>SUM(AF31:AF34)</f>
        <v>150</v>
      </c>
      <c r="AG36" s="19">
        <f>SUM(AG31:AG34)</f>
        <v>150</v>
      </c>
      <c r="AH36" s="19">
        <f>SUM(AH31:AH34)</f>
        <v>150</v>
      </c>
      <c r="AI36" s="19">
        <f>SUM(AI31:AI34)</f>
        <v>150</v>
      </c>
      <c r="AJ36" s="19">
        <f>SUM(AJ31:AJ34)</f>
        <v>150</v>
      </c>
      <c r="AK36" s="19">
        <f>SUM(AK31:AK34)</f>
        <v>150</v>
      </c>
      <c r="AL36" s="19">
        <f>SUM(AL31:AL34)</f>
        <v>150</v>
      </c>
    </row>
    <row r="38">
      <c r="A38" s="1" t="inlineStr">
        <is>
          <t>CASH</t>
        </is>
      </c>
    </row>
    <row r="39">
      <c r="A39" s="5" t="inlineStr">
        <is>
          <t>Operating cash flow (revenue less costs)</t>
        </is>
      </c>
      <c r="C39" s="18">
        <f>C23-C35</f>
        <v>373.39840000000004</v>
      </c>
      <c r="D39" s="18">
        <f>D23-D35</f>
        <v>604.6980480000001</v>
      </c>
      <c r="E39" s="18">
        <f>E23-E35</f>
        <v>635.2423065599999</v>
      </c>
      <c r="F39" s="18">
        <f>F23-F35</f>
        <v>665.0538373632</v>
      </c>
      <c r="G39" s="18">
        <f>G23-G35</f>
        <v>-555.8453777576958</v>
      </c>
      <c r="H39" s="18">
        <f>H23-H35</f>
        <v>722.5659835750348</v>
      </c>
      <c r="I39" s="18">
        <f>I23-I35</f>
        <v>750.3086040677838</v>
      </c>
      <c r="J39" s="18">
        <f>J23-J35</f>
        <v>777.4025459457504</v>
      </c>
      <c r="K39" s="18">
        <f>K23-K35</f>
        <v>803.8672695673777</v>
      </c>
      <c r="L39" s="18">
        <f>L23-L35</f>
        <v>829.7216514803564</v>
      </c>
      <c r="M39" s="18">
        <f>M23-M35</f>
        <v>854.9840019359458</v>
      </c>
      <c r="N39" s="18">
        <f>N23-N35</f>
        <v>879.6720818778674</v>
      </c>
      <c r="O39" s="18">
        <f>O23-O35</f>
        <v>853.8031194215314</v>
      </c>
      <c r="P39" s="18">
        <f>P23-P35</f>
        <v>1677.3938258388855</v>
      </c>
      <c r="Q39" s="18">
        <f>Q23-Q35</f>
        <v>1700.4604110637188</v>
      </c>
      <c r="R39" s="18">
        <f>R23-R35</f>
        <v>1723.0185987318073</v>
      </c>
      <c r="S39" s="18">
        <f>S23-S35</f>
        <v>495.08364076985276</v>
      </c>
      <c r="T39" s="18">
        <f>T23-T35</f>
        <v>1766.6703315467576</v>
      </c>
      <c r="U39" s="18">
        <f>U23-U35</f>
        <v>1787.7930216003551</v>
      </c>
      <c r="V39" s="18">
        <f>V23-V35</f>
        <v>1808.4656309523443</v>
      </c>
      <c r="W39" s="18">
        <f>W23-W35</f>
        <v>1828.701662023774</v>
      </c>
      <c r="X39" s="18">
        <f>X23-X35</f>
        <v>1848.5142121630602</v>
      </c>
      <c r="Y39" s="18">
        <f>Y23-Y35</f>
        <v>1867.915985798169</v>
      </c>
      <c r="Z39" s="18">
        <f>Z23-Z35</f>
        <v>1886.9193062242236</v>
      </c>
      <c r="AA39" s="18">
        <f>AA23-AA35</f>
        <v>1855.536127037497</v>
      </c>
      <c r="AB39" s="18">
        <f>AB23-AB35</f>
        <v>2673.778043226372</v>
      </c>
      <c r="AC39" s="18">
        <f>AC23-AC35</f>
        <v>2691.656301929581</v>
      </c>
      <c r="AD39" s="18">
        <f>AD23-AD35</f>
        <v>2709.181812871693</v>
      </c>
      <c r="AE39" s="18">
        <f>AE23-AE35</f>
        <v>1476.365158485543</v>
      </c>
      <c r="AF39" s="18">
        <f>AF23-AF35</f>
        <v>2743.2166037309767</v>
      </c>
      <c r="AG39" s="18">
        <f>AG23-AG35</f>
        <v>2759.746105619047</v>
      </c>
      <c r="AH39" s="18">
        <f>AH23-AH35</f>
        <v>2775.9633224504755</v>
      </c>
      <c r="AI39" s="18">
        <f>AI23-AI35</f>
        <v>2791.8776227769613</v>
      </c>
      <c r="AJ39" s="18">
        <f>AJ23-AJ35</f>
        <v>2807.4980940936525</v>
      </c>
      <c r="AK39" s="18">
        <f>AK23-AK35</f>
        <v>2822.8335512708427</v>
      </c>
      <c r="AL39" s="18">
        <f>AL23-AL35</f>
        <v>2837.8925447327174</v>
      </c>
    </row>
    <row r="40">
      <c r="A40" s="5" t="inlineStr">
        <is>
          <t>Founder distributions (share of revenue once past the threshold)</t>
        </is>
      </c>
      <c r="C40" s="18">
        <f>IF(IF(Inputs!$B$8=1,C22,C23)&gt;=Inputs!$B$6,C23*Inputs!$B$7,0)</f>
        <v>0</v>
      </c>
      <c r="D40" s="18">
        <f>IF(IF(Inputs!$B$8=1,D22,D23)&gt;=Inputs!$B$6,D23*Inputs!$B$7,0)</f>
        <v>0</v>
      </c>
      <c r="E40" s="18">
        <f>IF(IF(Inputs!$B$8=1,E22,E23)&gt;=Inputs!$B$6,E23*Inputs!$B$7,0)</f>
        <v>0</v>
      </c>
      <c r="F40" s="18">
        <f>IF(IF(Inputs!$B$8=1,F22,F23)&gt;=Inputs!$B$6,F23*Inputs!$B$7,0)</f>
        <v>0</v>
      </c>
      <c r="G40" s="18">
        <f>IF(IF(Inputs!$B$8=1,G22,G23)&gt;=Inputs!$B$6,G23*Inputs!$B$7,0)</f>
        <v>0</v>
      </c>
      <c r="H40" s="18">
        <f>IF(IF(Inputs!$B$8=1,H22,H23)&gt;=Inputs!$B$6,H23*Inputs!$B$7,0)</f>
        <v>0</v>
      </c>
      <c r="I40" s="18">
        <f>IF(IF(Inputs!$B$8=1,I22,I23)&gt;=Inputs!$B$6,I23*Inputs!$B$7,0)</f>
        <v>0</v>
      </c>
      <c r="J40" s="18">
        <f>IF(IF(Inputs!$B$8=1,J22,J23)&gt;=Inputs!$B$6,J23*Inputs!$B$7,0)</f>
        <v>0</v>
      </c>
      <c r="K40" s="18">
        <f>IF(IF(Inputs!$B$8=1,K22,K23)&gt;=Inputs!$B$6,K23*Inputs!$B$7,0)</f>
        <v>0</v>
      </c>
      <c r="L40" s="18">
        <f>IF(IF(Inputs!$B$8=1,L22,L23)&gt;=Inputs!$B$6,L23*Inputs!$B$7,0)</f>
        <v>0</v>
      </c>
      <c r="M40" s="18">
        <f>IF(IF(Inputs!$B$8=1,M22,M23)&gt;=Inputs!$B$6,M23*Inputs!$B$7,0)</f>
        <v>0</v>
      </c>
      <c r="N40" s="18">
        <f>IF(IF(Inputs!$B$8=1,N22,N23)&gt;=Inputs!$B$6,N23*Inputs!$B$7,0)</f>
        <v>0</v>
      </c>
      <c r="O40" s="18">
        <f>IF(IF(Inputs!$B$8=1,O22,O23)&gt;=Inputs!$B$6,O23*Inputs!$B$7,0)</f>
        <v>0</v>
      </c>
      <c r="P40" s="18">
        <f>IF(IF(Inputs!$B$8=1,P22,P23)&gt;=Inputs!$B$6,P23*Inputs!$B$7,0)</f>
        <v>0</v>
      </c>
      <c r="Q40" s="18">
        <f>IF(IF(Inputs!$B$8=1,Q22,Q23)&gt;=Inputs!$B$6,Q23*Inputs!$B$7,0)</f>
        <v>0</v>
      </c>
      <c r="R40" s="18">
        <f>IF(IF(Inputs!$B$8=1,R22,R23)&gt;=Inputs!$B$6,R23*Inputs!$B$7,0)</f>
        <v>0</v>
      </c>
      <c r="S40" s="18">
        <f>IF(IF(Inputs!$B$8=1,S22,S23)&gt;=Inputs!$B$6,S23*Inputs!$B$7,0)</f>
        <v>0</v>
      </c>
      <c r="T40" s="18">
        <f>IF(IF(Inputs!$B$8=1,T22,T23)&gt;=Inputs!$B$6,T23*Inputs!$B$7,0)</f>
        <v>0</v>
      </c>
      <c r="U40" s="18">
        <f>IF(IF(Inputs!$B$8=1,U22,U23)&gt;=Inputs!$B$6,U23*Inputs!$B$7,0)</f>
        <v>0</v>
      </c>
      <c r="V40" s="18">
        <f>IF(IF(Inputs!$B$8=1,V22,V23)&gt;=Inputs!$B$6,V23*Inputs!$B$7,0)</f>
        <v>0</v>
      </c>
      <c r="W40" s="18">
        <f>IF(IF(Inputs!$B$8=1,W22,W23)&gt;=Inputs!$B$6,W23*Inputs!$B$7,0)</f>
        <v>0</v>
      </c>
      <c r="X40" s="18">
        <f>IF(IF(Inputs!$B$8=1,X22,X23)&gt;=Inputs!$B$6,X23*Inputs!$B$7,0)</f>
        <v>0</v>
      </c>
      <c r="Y40" s="18">
        <f>IF(IF(Inputs!$B$8=1,Y22,Y23)&gt;=Inputs!$B$6,Y23*Inputs!$B$7,0)</f>
        <v>0</v>
      </c>
      <c r="Z40" s="18">
        <f>IF(IF(Inputs!$B$8=1,Z22,Z23)&gt;=Inputs!$B$6,Z23*Inputs!$B$7,0)</f>
        <v>0</v>
      </c>
      <c r="AA40" s="18">
        <f>IF(IF(Inputs!$B$8=1,AA22,AA23)&gt;=Inputs!$B$6,AA23*Inputs!$B$7,0)</f>
        <v>0</v>
      </c>
      <c r="AB40" s="18">
        <f>IF(IF(Inputs!$B$8=1,AB22,AB23)&gt;=Inputs!$B$6,AB23*Inputs!$B$7,0)</f>
        <v>0</v>
      </c>
      <c r="AC40" s="18">
        <f>IF(IF(Inputs!$B$8=1,AC22,AC23)&gt;=Inputs!$B$6,AC23*Inputs!$B$7,0)</f>
        <v>0</v>
      </c>
      <c r="AD40" s="18">
        <f>IF(IF(Inputs!$B$8=1,AD22,AD23)&gt;=Inputs!$B$6,AD23*Inputs!$B$7,0)</f>
        <v>0</v>
      </c>
      <c r="AE40" s="18">
        <f>IF(IF(Inputs!$B$8=1,AE22,AE23)&gt;=Inputs!$B$6,AE23*Inputs!$B$7,0)</f>
        <v>978.1755669851538</v>
      </c>
      <c r="AF40" s="18">
        <f>IF(IF(Inputs!$B$8=1,AF22,AF23)&gt;=Inputs!$B$6,AF23*Inputs!$B$7,0)</f>
        <v>984.2092999755992</v>
      </c>
      <c r="AG40" s="18">
        <f>IF(IF(Inputs!$B$8=1,AG22,AG23)&gt;=Inputs!$B$6,AG23*Inputs!$B$7,0)</f>
        <v>990.1430209763312</v>
      </c>
      <c r="AH40" s="18">
        <f>IF(IF(Inputs!$B$8=1,AH22,AH23)&gt;=Inputs!$B$6,AH23*Inputs!$B$7,0)</f>
        <v>995.9797303470411</v>
      </c>
      <c r="AI40" s="18">
        <f>IF(IF(Inputs!$B$8=1,AI22,AI23)&gt;=Inputs!$B$6,AI23*Inputs!$B$7,0)</f>
        <v>1001.7223384366299</v>
      </c>
      <c r="AJ40" s="18">
        <f>IF(IF(Inputs!$B$8=1,AJ22,AJ23)&gt;=Inputs!$B$6,AJ23*Inputs!$B$7,0)</f>
        <v>1007.3736682835311</v>
      </c>
      <c r="AK40" s="18">
        <f>IF(IF(Inputs!$B$8=1,AK22,AK23)&gt;=Inputs!$B$6,AK23*Inputs!$B$7,0)</f>
        <v>1012.9364582350252</v>
      </c>
      <c r="AL40" s="18">
        <f>IF(IF(Inputs!$B$8=1,AL22,AL23)&gt;=Inputs!$B$6,AL23*Inputs!$B$7,0)</f>
        <v>1018.4133644879744</v>
      </c>
    </row>
    <row r="41">
      <c r="A41" s="5" t="inlineStr">
        <is>
          <t xml:space="preserve">  per founder</t>
        </is>
      </c>
      <c r="C41" s="19">
        <f>C40/Inputs!$B$9</f>
        <v>0.0</v>
      </c>
      <c r="D41" s="19">
        <f>D40/Inputs!$B$9</f>
        <v>0.0</v>
      </c>
      <c r="E41" s="19">
        <f>E40/Inputs!$B$9</f>
        <v>0.0</v>
      </c>
      <c r="F41" s="19">
        <f>F40/Inputs!$B$9</f>
        <v>0.0</v>
      </c>
      <c r="G41" s="19">
        <f>G40/Inputs!$B$9</f>
        <v>0.0</v>
      </c>
      <c r="H41" s="19">
        <f>H40/Inputs!$B$9</f>
        <v>0.0</v>
      </c>
      <c r="I41" s="19">
        <f>I40/Inputs!$B$9</f>
        <v>0.0</v>
      </c>
      <c r="J41" s="19">
        <f>J40/Inputs!$B$9</f>
        <v>0.0</v>
      </c>
      <c r="K41" s="19">
        <f>K40/Inputs!$B$9</f>
        <v>0.0</v>
      </c>
      <c r="L41" s="19">
        <f>L40/Inputs!$B$9</f>
        <v>0.0</v>
      </c>
      <c r="M41" s="19">
        <f>M40/Inputs!$B$9</f>
        <v>0.0</v>
      </c>
      <c r="N41" s="19">
        <f>N40/Inputs!$B$9</f>
        <v>0.0</v>
      </c>
      <c r="O41" s="19">
        <f>O40/Inputs!$B$9</f>
        <v>0.0</v>
      </c>
      <c r="P41" s="19">
        <f>P40/Inputs!$B$9</f>
        <v>0.0</v>
      </c>
      <c r="Q41" s="19">
        <f>Q40/Inputs!$B$9</f>
        <v>0.0</v>
      </c>
      <c r="R41" s="19">
        <f>R40/Inputs!$B$9</f>
        <v>0.0</v>
      </c>
      <c r="S41" s="19">
        <f>S40/Inputs!$B$9</f>
        <v>0.0</v>
      </c>
      <c r="T41" s="19">
        <f>T40/Inputs!$B$9</f>
        <v>0.0</v>
      </c>
      <c r="U41" s="19">
        <f>U40/Inputs!$B$9</f>
        <v>0.0</v>
      </c>
      <c r="V41" s="19">
        <f>V40/Inputs!$B$9</f>
        <v>0.0</v>
      </c>
      <c r="W41" s="19">
        <f>W40/Inputs!$B$9</f>
        <v>0.0</v>
      </c>
      <c r="X41" s="19">
        <f>X40/Inputs!$B$9</f>
        <v>0.0</v>
      </c>
      <c r="Y41" s="19">
        <f>Y40/Inputs!$B$9</f>
        <v>0.0</v>
      </c>
      <c r="Z41" s="19">
        <f>Z40/Inputs!$B$9</f>
        <v>0.0</v>
      </c>
      <c r="AA41" s="19">
        <f>AA40/Inputs!$B$9</f>
        <v>0.0</v>
      </c>
      <c r="AB41" s="19">
        <f>AB40/Inputs!$B$9</f>
        <v>0.0</v>
      </c>
      <c r="AC41" s="19">
        <f>AC40/Inputs!$B$9</f>
        <v>0.0</v>
      </c>
      <c r="AD41" s="19">
        <f>AD40/Inputs!$B$9</f>
        <v>0.0</v>
      </c>
      <c r="AE41" s="19">
        <f>AE40/Inputs!$B$9</f>
        <v>489.0877834925769</v>
      </c>
      <c r="AF41" s="19">
        <f>AF40/Inputs!$B$9</f>
        <v>492.1046499877996</v>
      </c>
      <c r="AG41" s="19">
        <f>AG40/Inputs!$B$9</f>
        <v>495.0715104881656</v>
      </c>
      <c r="AH41" s="19">
        <f>AH40/Inputs!$B$9</f>
        <v>497.98986517352057</v>
      </c>
      <c r="AI41" s="19">
        <f>AI40/Inputs!$B$9</f>
        <v>500.86116921831496</v>
      </c>
      <c r="AJ41" s="19">
        <f>AJ40/Inputs!$B$9</f>
        <v>503.68683414176553</v>
      </c>
      <c r="AK41" s="19">
        <f>AK40/Inputs!$B$9</f>
        <v>506.4682291175126</v>
      </c>
      <c r="AL41" s="19">
        <f>AL40/Inputs!$B$9</f>
        <v>509.2066822439872</v>
      </c>
    </row>
    <row r="42">
      <c r="A42" s="5" t="inlineStr">
        <is>
          <t>Net cash flow</t>
        </is>
      </c>
      <c r="C42" s="18">
        <f>C39-C40</f>
        <v>373.39840000000004</v>
      </c>
      <c r="D42" s="18">
        <f>D39-D40</f>
        <v>604.6980480000001</v>
      </c>
      <c r="E42" s="18">
        <f>E39-E40</f>
        <v>635.2423065599999</v>
      </c>
      <c r="F42" s="18">
        <f>F39-F40</f>
        <v>665.0538373632</v>
      </c>
      <c r="G42" s="18">
        <f>G39-G40</f>
        <v>-555.8453777576958</v>
      </c>
      <c r="H42" s="18">
        <f>H39-H40</f>
        <v>722.5659835750348</v>
      </c>
      <c r="I42" s="18">
        <f>I39-I40</f>
        <v>750.3086040677838</v>
      </c>
      <c r="J42" s="18">
        <f>J39-J40</f>
        <v>777.4025459457504</v>
      </c>
      <c r="K42" s="18">
        <f>K39-K40</f>
        <v>803.8672695673777</v>
      </c>
      <c r="L42" s="18">
        <f>L39-L40</f>
        <v>829.7216514803564</v>
      </c>
      <c r="M42" s="18">
        <f>M39-M40</f>
        <v>854.9840019359458</v>
      </c>
      <c r="N42" s="18">
        <f>N39-N40</f>
        <v>879.6720818778674</v>
      </c>
      <c r="O42" s="18">
        <f>O39-O40</f>
        <v>853.8031194215314</v>
      </c>
      <c r="P42" s="18">
        <f>P39-P40</f>
        <v>1677.3938258388855</v>
      </c>
      <c r="Q42" s="18">
        <f>Q39-Q40</f>
        <v>1700.4604110637188</v>
      </c>
      <c r="R42" s="18">
        <f>R39-R40</f>
        <v>1723.0185987318073</v>
      </c>
      <c r="S42" s="18">
        <f>S39-S40</f>
        <v>495.08364076985276</v>
      </c>
      <c r="T42" s="18">
        <f>T39-T40</f>
        <v>1766.6703315467576</v>
      </c>
      <c r="U42" s="18">
        <f>U39-U40</f>
        <v>1787.7930216003551</v>
      </c>
      <c r="V42" s="18">
        <f>V39-V40</f>
        <v>1808.4656309523443</v>
      </c>
      <c r="W42" s="18">
        <f>W39-W40</f>
        <v>1828.701662023774</v>
      </c>
      <c r="X42" s="18">
        <f>X39-X40</f>
        <v>1848.5142121630602</v>
      </c>
      <c r="Y42" s="18">
        <f>Y39-Y40</f>
        <v>1867.915985798169</v>
      </c>
      <c r="Z42" s="18">
        <f>Z39-Z40</f>
        <v>1886.9193062242236</v>
      </c>
      <c r="AA42" s="18">
        <f>AA39-AA40</f>
        <v>1855.536127037497</v>
      </c>
      <c r="AB42" s="18">
        <f>AB39-AB40</f>
        <v>2673.778043226372</v>
      </c>
      <c r="AC42" s="18">
        <f>AC39-AC40</f>
        <v>2691.656301929581</v>
      </c>
      <c r="AD42" s="18">
        <f>AD39-AD40</f>
        <v>2709.181812871693</v>
      </c>
      <c r="AE42" s="18">
        <f>AE39-AE40</f>
        <v>498.18959150038916</v>
      </c>
      <c r="AF42" s="18">
        <f>AF39-AF40</f>
        <v>1759.0073037553775</v>
      </c>
      <c r="AG42" s="18">
        <f>AG39-AG40</f>
        <v>1769.6030846427157</v>
      </c>
      <c r="AH42" s="18">
        <f>AH39-AH40</f>
        <v>1779.9835921034344</v>
      </c>
      <c r="AI42" s="18">
        <f>AI39-AI40</f>
        <v>1790.1552843403315</v>
      </c>
      <c r="AJ42" s="18">
        <f>AJ39-AJ40</f>
        <v>1800.1244258101215</v>
      </c>
      <c r="AK42" s="18">
        <f>AK39-AK40</f>
        <v>1809.8970930358175</v>
      </c>
      <c r="AL42" s="18">
        <f>AL39-AL40</f>
        <v>1819.479180244743</v>
      </c>
    </row>
    <row r="43">
      <c r="A43" s="3" t="inlineStr">
        <is>
          <t>CASH, END OF MONTH</t>
        </is>
      </c>
      <c r="C43" s="10">
        <f>Inputs!$B$5+C42</f>
        <v>10373.3984</v>
      </c>
      <c r="D43" s="10">
        <f>C43+D42</f>
        <v>10978.096448</v>
      </c>
      <c r="E43" s="10">
        <f>D43+E42</f>
        <v>11613.33875456</v>
      </c>
      <c r="F43" s="10">
        <f>E43+F42</f>
        <v>12278.3925919232</v>
      </c>
      <c r="G43" s="10">
        <f>F43+G42</f>
        <v>11722.547214165505</v>
      </c>
      <c r="H43" s="10">
        <f>G43+H42</f>
        <v>12445.113197740538</v>
      </c>
      <c r="I43" s="10">
        <f>H43+I42</f>
        <v>13195.421801808323</v>
      </c>
      <c r="J43" s="10">
        <f>I43+J42</f>
        <v>13972.824347754073</v>
      </c>
      <c r="K43" s="10">
        <f>J43+K42</f>
        <v>14776.69161732145</v>
      </c>
      <c r="L43" s="10">
        <f>K43+L42</f>
        <v>15606.413268801807</v>
      </c>
      <c r="M43" s="10">
        <f>L43+M42</f>
        <v>16461.397270737754</v>
      </c>
      <c r="N43" s="10">
        <f>M43+N42</f>
        <v>17341.06935261562</v>
      </c>
      <c r="O43" s="10">
        <f>N43+O42</f>
        <v>18194.872472037154</v>
      </c>
      <c r="P43" s="10">
        <f>O43+P42</f>
        <v>19872.266297876038</v>
      </c>
      <c r="Q43" s="10">
        <f>P43+Q42</f>
        <v>21572.726708939757</v>
      </c>
      <c r="R43" s="10">
        <f>Q43+R42</f>
        <v>23295.745307671565</v>
      </c>
      <c r="S43" s="10">
        <f>R43+S42</f>
        <v>23790.828948441416</v>
      </c>
      <c r="T43" s="10">
        <f>S43+T42</f>
        <v>25557.499279988173</v>
      </c>
      <c r="U43" s="10">
        <f>T43+U42</f>
        <v>27345.292301588528</v>
      </c>
      <c r="V43" s="10">
        <f>U43+V42</f>
        <v>29153.757932540873</v>
      </c>
      <c r="W43" s="10">
        <f>V43+W42</f>
        <v>30982.459594564647</v>
      </c>
      <c r="X43" s="10">
        <f>W43+X42</f>
        <v>32830.97380672771</v>
      </c>
      <c r="Y43" s="10">
        <f>X43+Y42</f>
        <v>34698.88979252588</v>
      </c>
      <c r="Z43" s="10">
        <f>Y43+Z42</f>
        <v>36585.809098750105</v>
      </c>
      <c r="AA43" s="10">
        <f>Z43+AA42</f>
        <v>38441.345225787605</v>
      </c>
      <c r="AB43" s="10">
        <f>AA43+AB42</f>
        <v>41115.12326901398</v>
      </c>
      <c r="AC43" s="10">
        <f>AB43+AC42</f>
        <v>43806.77957094356</v>
      </c>
      <c r="AD43" s="10">
        <f>AC43+AD42</f>
        <v>46515.96138381525</v>
      </c>
      <c r="AE43" s="10">
        <f>AD43+AE42</f>
        <v>47014.15097531564</v>
      </c>
      <c r="AF43" s="10">
        <f>AE43+AF42</f>
        <v>48773.15827907102</v>
      </c>
      <c r="AG43" s="10">
        <f>AF43+AG42</f>
        <v>50542.76136371374</v>
      </c>
      <c r="AH43" s="10">
        <f>AG43+AH42</f>
        <v>52322.74495581717</v>
      </c>
      <c r="AI43" s="10">
        <f>AH43+AI42</f>
        <v>54112.900240157505</v>
      </c>
      <c r="AJ43" s="10">
        <f>AI43+AJ42</f>
        <v>55913.02466596763</v>
      </c>
      <c r="AK43" s="10">
        <f>AJ43+AK42</f>
        <v>57722.921759003446</v>
      </c>
      <c r="AL43" s="10">
        <f>AK43+AL42</f>
        <v>59542.40093924819</v>
      </c>
    </row>
    <row r="44">
      <c r="A44" s="5" t="inlineStr">
        <is>
          <t>Cumulative founder draw, each</t>
        </is>
      </c>
      <c r="C44" s="19">
        <f>C41</f>
        <v>0.0</v>
      </c>
      <c r="D44" s="19">
        <f>C44+D41</f>
        <v>0</v>
      </c>
      <c r="E44" s="19">
        <f>D44+E41</f>
        <v>0</v>
      </c>
      <c r="F44" s="19">
        <f>E44+F41</f>
        <v>0</v>
      </c>
      <c r="G44" s="19">
        <f>F44+G41</f>
        <v>0</v>
      </c>
      <c r="H44" s="19">
        <f>G44+H41</f>
        <v>0</v>
      </c>
      <c r="I44" s="19">
        <f>H44+I41</f>
        <v>0</v>
      </c>
      <c r="J44" s="19">
        <f>I44+J41</f>
        <v>0</v>
      </c>
      <c r="K44" s="19">
        <f>J44+K41</f>
        <v>0</v>
      </c>
      <c r="L44" s="19">
        <f>K44+L41</f>
        <v>0</v>
      </c>
      <c r="M44" s="19">
        <f>L44+M41</f>
        <v>0</v>
      </c>
      <c r="N44" s="19">
        <f>M44+N41</f>
        <v>0</v>
      </c>
      <c r="O44" s="19">
        <f>N44+O41</f>
        <v>0</v>
      </c>
      <c r="P44" s="19">
        <f>O44+P41</f>
        <v>0</v>
      </c>
      <c r="Q44" s="19">
        <f>P44+Q41</f>
        <v>0</v>
      </c>
      <c r="R44" s="19">
        <f>Q44+R41</f>
        <v>0</v>
      </c>
      <c r="S44" s="19">
        <f>R44+S41</f>
        <v>0</v>
      </c>
      <c r="T44" s="19">
        <f>S44+T41</f>
        <v>0</v>
      </c>
      <c r="U44" s="19">
        <f>T44+U41</f>
        <v>0</v>
      </c>
      <c r="V44" s="19">
        <f>U44+V41</f>
        <v>0</v>
      </c>
      <c r="W44" s="19">
        <f>V44+W41</f>
        <v>0</v>
      </c>
      <c r="X44" s="19">
        <f>W44+X41</f>
        <v>0</v>
      </c>
      <c r="Y44" s="19">
        <f>X44+Y41</f>
        <v>0</v>
      </c>
      <c r="Z44" s="19">
        <f>Y44+Z41</f>
        <v>0</v>
      </c>
      <c r="AA44" s="19">
        <f>Z44+AA41</f>
        <v>0</v>
      </c>
      <c r="AB44" s="19">
        <f>AA44+AB41</f>
        <v>0</v>
      </c>
      <c r="AC44" s="19">
        <f>AB44+AC41</f>
        <v>0</v>
      </c>
      <c r="AD44" s="19">
        <f>AC44+AD41</f>
        <v>0</v>
      </c>
      <c r="AE44" s="19">
        <f>AD44+AE41</f>
        <v>489.0877834925769</v>
      </c>
      <c r="AF44" s="19">
        <f>AE44+AF41</f>
        <v>981.1924334803764</v>
      </c>
      <c r="AG44" s="19">
        <f>AF44+AG41</f>
        <v>1476.263943968542</v>
      </c>
      <c r="AH44" s="19">
        <f>AG44+AH41</f>
        <v>1974.2538091420624</v>
      </c>
      <c r="AI44" s="19">
        <f>AH44+AI41</f>
        <v>2475.1149783603773</v>
      </c>
      <c r="AJ44" s="19">
        <f>AI44+AJ41</f>
        <v>2978.8018125021426</v>
      </c>
      <c r="AK44" s="19">
        <f>AJ44+AK41</f>
        <v>3485.2700416196553</v>
      </c>
      <c r="AL44" s="19">
        <f>AK44+AL41</f>
        <v>3994.4767238636423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2" customWidth="1" min="1" max="1"/>
    <col width="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s>
  <sheetData>
    <row r="1">
      <c r="A1" s="1" t="inlineStr">
        <is>
          <t>Moderate marketing level, monthly, months 1 to 36 (month 1 = November 2026)</t>
        </is>
      </c>
    </row>
    <row r="2">
      <c r="A2" s="3" t="inlineStr">
        <is>
          <t>Month</t>
        </is>
      </c>
      <c r="C2" s="4" t="n">
        <v>1</v>
      </c>
      <c r="D2" s="4" t="n">
        <v>2</v>
      </c>
      <c r="E2" s="4" t="n">
        <v>3</v>
      </c>
      <c r="F2" s="4" t="n">
        <v>4</v>
      </c>
      <c r="G2" s="4" t="n">
        <v>5</v>
      </c>
      <c r="H2" s="4" t="n">
        <v>6</v>
      </c>
      <c r="I2" s="4" t="n">
        <v>7</v>
      </c>
      <c r="J2" s="4" t="n">
        <v>8</v>
      </c>
      <c r="K2" s="4" t="n">
        <v>9</v>
      </c>
      <c r="L2" s="4" t="n">
        <v>10</v>
      </c>
      <c r="M2" s="4" t="n">
        <v>11</v>
      </c>
      <c r="N2" s="4" t="n">
        <v>12</v>
      </c>
      <c r="O2" s="4" t="n">
        <v>13</v>
      </c>
      <c r="P2" s="4" t="n">
        <v>14</v>
      </c>
      <c r="Q2" s="4" t="n">
        <v>15</v>
      </c>
      <c r="R2" s="4" t="n">
        <v>16</v>
      </c>
      <c r="S2" s="4" t="n">
        <v>17</v>
      </c>
      <c r="T2" s="4" t="n">
        <v>18</v>
      </c>
      <c r="U2" s="4" t="n">
        <v>19</v>
      </c>
      <c r="V2" s="4" t="n">
        <v>20</v>
      </c>
      <c r="W2" s="4" t="n">
        <v>21</v>
      </c>
      <c r="X2" s="4" t="n">
        <v>22</v>
      </c>
      <c r="Y2" s="4" t="n">
        <v>23</v>
      </c>
      <c r="Z2" s="4" t="n">
        <v>24</v>
      </c>
      <c r="AA2" s="4" t="n">
        <v>25</v>
      </c>
      <c r="AB2" s="4" t="n">
        <v>26</v>
      </c>
      <c r="AC2" s="4" t="n">
        <v>27</v>
      </c>
      <c r="AD2" s="4" t="n">
        <v>28</v>
      </c>
      <c r="AE2" s="4" t="n">
        <v>29</v>
      </c>
      <c r="AF2" s="4" t="n">
        <v>30</v>
      </c>
      <c r="AG2" s="4" t="n">
        <v>31</v>
      </c>
      <c r="AH2" s="4" t="n">
        <v>32</v>
      </c>
      <c r="AI2" s="4" t="n">
        <v>33</v>
      </c>
      <c r="AJ2" s="4" t="n">
        <v>34</v>
      </c>
      <c r="AK2" s="4" t="n">
        <v>35</v>
      </c>
      <c r="AL2" s="4" t="n">
        <v>36</v>
      </c>
    </row>
    <row r="3">
      <c r="A3" s="2" t="inlineStr">
        <is>
          <t>Year</t>
        </is>
      </c>
      <c r="C3" s="2" t="n">
        <v>1</v>
      </c>
      <c r="D3" s="2" t="n">
        <v>1</v>
      </c>
      <c r="E3" s="2" t="n">
        <v>1</v>
      </c>
      <c r="F3" s="2" t="n">
        <v>1</v>
      </c>
      <c r="G3" s="2" t="n">
        <v>1</v>
      </c>
      <c r="H3" s="2" t="n">
        <v>1</v>
      </c>
      <c r="I3" s="2" t="n">
        <v>1</v>
      </c>
      <c r="J3" s="2" t="n">
        <v>1</v>
      </c>
      <c r="K3" s="2" t="n">
        <v>1</v>
      </c>
      <c r="L3" s="2" t="n">
        <v>1</v>
      </c>
      <c r="M3" s="2" t="n">
        <v>1</v>
      </c>
      <c r="N3" s="2" t="n">
        <v>1</v>
      </c>
      <c r="O3" s="2" t="n">
        <v>2</v>
      </c>
      <c r="P3" s="2" t="n">
        <v>2</v>
      </c>
      <c r="Q3" s="2" t="n">
        <v>2</v>
      </c>
      <c r="R3" s="2" t="n">
        <v>2</v>
      </c>
      <c r="S3" s="2" t="n">
        <v>2</v>
      </c>
      <c r="T3" s="2" t="n">
        <v>2</v>
      </c>
      <c r="U3" s="2" t="n">
        <v>2</v>
      </c>
      <c r="V3" s="2" t="n">
        <v>2</v>
      </c>
      <c r="W3" s="2" t="n">
        <v>2</v>
      </c>
      <c r="X3" s="2" t="n">
        <v>2</v>
      </c>
      <c r="Y3" s="2" t="n">
        <v>2</v>
      </c>
      <c r="Z3" s="2" t="n">
        <v>2</v>
      </c>
      <c r="AA3" s="2" t="n">
        <v>3</v>
      </c>
      <c r="AB3" s="2" t="n">
        <v>3</v>
      </c>
      <c r="AC3" s="2" t="n">
        <v>3</v>
      </c>
      <c r="AD3" s="2" t="n">
        <v>3</v>
      </c>
      <c r="AE3" s="2" t="n">
        <v>3</v>
      </c>
      <c r="AF3" s="2" t="n">
        <v>3</v>
      </c>
      <c r="AG3" s="2" t="n">
        <v>3</v>
      </c>
      <c r="AH3" s="2" t="n">
        <v>3</v>
      </c>
      <c r="AI3" s="2" t="n">
        <v>3</v>
      </c>
      <c r="AJ3" s="2" t="n">
        <v>3</v>
      </c>
      <c r="AK3" s="2" t="n">
        <v>3</v>
      </c>
      <c r="AL3" s="2" t="n">
        <v>3</v>
      </c>
    </row>
    <row r="5">
      <c r="A5" s="1" t="inlineStr">
        <is>
          <t>MEMBERS</t>
        </is>
      </c>
    </row>
    <row r="6">
      <c r="A6" s="5" t="inlineStr">
        <is>
          <t>Paying individuals, start of month</t>
        </is>
      </c>
      <c r="C6" s="16">
        <f>Inputs!$B$12</f>
        <v>20</v>
      </c>
      <c r="D6" s="16">
        <f>C10</f>
        <v>33.97142857142857</v>
      </c>
      <c r="E6" s="16">
        <f>D10</f>
        <v>47.52371428571428</v>
      </c>
      <c r="F6" s="16">
        <f>E10</f>
        <v>60.66943142857142</v>
      </c>
      <c r="G6" s="16">
        <f>F10</f>
        <v>73.42077705714284</v>
      </c>
      <c r="H6" s="16">
        <f>G10</f>
        <v>85.78958231685712</v>
      </c>
      <c r="I6" s="16">
        <f>H10</f>
        <v>97.78732341877998</v>
      </c>
      <c r="J6" s="16">
        <f>I10</f>
        <v>109.42513228764514</v>
      </c>
      <c r="K6" s="16">
        <f>J10</f>
        <v>120.71380689044436</v>
      </c>
      <c r="L6" s="16">
        <f>K10</f>
        <v>131.6638212551596</v>
      </c>
      <c r="M6" s="16">
        <f>L10</f>
        <v>142.2853351889334</v>
      </c>
      <c r="N6" s="16">
        <f>M10</f>
        <v>152.588203704694</v>
      </c>
      <c r="O6" s="16">
        <f>N10</f>
        <v>162.58198616498177</v>
      </c>
      <c r="P6" s="16">
        <f>O10</f>
        <v>172.2759551514609</v>
      </c>
      <c r="Q6" s="16">
        <f>P10</f>
        <v>181.67910506834565</v>
      </c>
      <c r="R6" s="16">
        <f>Q10</f>
        <v>190.80016048772387</v>
      </c>
      <c r="S6" s="16">
        <f>R10</f>
        <v>199.64758424452074</v>
      </c>
      <c r="T6" s="16">
        <f>S10</f>
        <v>208.2295852886137</v>
      </c>
      <c r="U6" s="16">
        <f>T10</f>
        <v>216.55412630138386</v>
      </c>
      <c r="V6" s="16">
        <f>U10</f>
        <v>224.62893108377094</v>
      </c>
      <c r="W6" s="16">
        <f>V10</f>
        <v>232.4614917226864</v>
      </c>
      <c r="X6" s="16">
        <f>W10</f>
        <v>240.05907554243439</v>
      </c>
      <c r="Y6" s="16">
        <f>X10</f>
        <v>247.42873184758994</v>
      </c>
      <c r="Z6" s="16">
        <f>Y10</f>
        <v>254.57729846359084</v>
      </c>
      <c r="AA6" s="16">
        <f>Z10</f>
        <v>261.5114080811117</v>
      </c>
      <c r="AB6" s="16">
        <f>AA10</f>
        <v>268.23749441010693</v>
      </c>
      <c r="AC6" s="16">
        <f>AB10</f>
        <v>274.7617981492323</v>
      </c>
      <c r="AD6" s="16">
        <f>AC10</f>
        <v>281.09037277618387</v>
      </c>
      <c r="AE6" s="16">
        <f>AD10</f>
        <v>287.2290901643269</v>
      </c>
      <c r="AF6" s="16">
        <f>AE10</f>
        <v>293.1836460308257</v>
      </c>
      <c r="AG6" s="16">
        <f>AF10</f>
        <v>298.95956522132946</v>
      </c>
      <c r="AH6" s="16">
        <f>AG10</f>
        <v>304.56220683611815</v>
      </c>
      <c r="AI6" s="16">
        <f>AH10</f>
        <v>309.99676920246316</v>
      </c>
      <c r="AJ6" s="16">
        <f>AI10</f>
        <v>315.2682946978178</v>
      </c>
      <c r="AK6" s="16">
        <f>AJ10</f>
        <v>320.38167442831184</v>
      </c>
      <c r="AL6" s="16">
        <f>AK10</f>
        <v>325.34165276689106</v>
      </c>
    </row>
    <row r="7">
      <c r="A7" s="5" t="inlineStr">
        <is>
          <t>Organic adds</t>
        </is>
      </c>
      <c r="C7" s="7">
        <f>Inputs!$C$36</f>
        <v>6</v>
      </c>
      <c r="D7" s="7">
        <f>Inputs!$C$36</f>
        <v>6</v>
      </c>
      <c r="E7" s="7">
        <f>Inputs!$C$36</f>
        <v>6</v>
      </c>
      <c r="F7" s="7">
        <f>Inputs!$C$36</f>
        <v>6</v>
      </c>
      <c r="G7" s="7">
        <f>Inputs!$C$36</f>
        <v>6</v>
      </c>
      <c r="H7" s="7">
        <f>Inputs!$C$36</f>
        <v>6</v>
      </c>
      <c r="I7" s="7">
        <f>Inputs!$C$36</f>
        <v>6</v>
      </c>
      <c r="J7" s="7">
        <f>Inputs!$C$36</f>
        <v>6</v>
      </c>
      <c r="K7" s="7">
        <f>Inputs!$C$36</f>
        <v>6</v>
      </c>
      <c r="L7" s="7">
        <f>Inputs!$C$36</f>
        <v>6</v>
      </c>
      <c r="M7" s="7">
        <f>Inputs!$C$36</f>
        <v>6</v>
      </c>
      <c r="N7" s="7">
        <f>Inputs!$C$36</f>
        <v>6</v>
      </c>
      <c r="O7" s="7">
        <f>Inputs!$C$36</f>
        <v>6</v>
      </c>
      <c r="P7" s="7">
        <f>Inputs!$C$36</f>
        <v>6</v>
      </c>
      <c r="Q7" s="7">
        <f>Inputs!$C$36</f>
        <v>6</v>
      </c>
      <c r="R7" s="7">
        <f>Inputs!$C$36</f>
        <v>6</v>
      </c>
      <c r="S7" s="7">
        <f>Inputs!$C$36</f>
        <v>6</v>
      </c>
      <c r="T7" s="7">
        <f>Inputs!$C$36</f>
        <v>6</v>
      </c>
      <c r="U7" s="7">
        <f>Inputs!$C$36</f>
        <v>6</v>
      </c>
      <c r="V7" s="7">
        <f>Inputs!$C$36</f>
        <v>6</v>
      </c>
      <c r="W7" s="7">
        <f>Inputs!$C$36</f>
        <v>6</v>
      </c>
      <c r="X7" s="7">
        <f>Inputs!$C$36</f>
        <v>6</v>
      </c>
      <c r="Y7" s="7">
        <f>Inputs!$C$36</f>
        <v>6</v>
      </c>
      <c r="Z7" s="7">
        <f>Inputs!$C$36</f>
        <v>6</v>
      </c>
      <c r="AA7" s="7">
        <f>Inputs!$C$36</f>
        <v>6</v>
      </c>
      <c r="AB7" s="7">
        <f>Inputs!$C$36</f>
        <v>6</v>
      </c>
      <c r="AC7" s="7">
        <f>Inputs!$C$36</f>
        <v>6</v>
      </c>
      <c r="AD7" s="7">
        <f>Inputs!$C$36</f>
        <v>6</v>
      </c>
      <c r="AE7" s="7">
        <f>Inputs!$C$36</f>
        <v>6</v>
      </c>
      <c r="AF7" s="7">
        <f>Inputs!$C$36</f>
        <v>6</v>
      </c>
      <c r="AG7" s="7">
        <f>Inputs!$C$36</f>
        <v>6</v>
      </c>
      <c r="AH7" s="7">
        <f>Inputs!$C$36</f>
        <v>6</v>
      </c>
      <c r="AI7" s="7">
        <f>Inputs!$C$36</f>
        <v>6</v>
      </c>
      <c r="AJ7" s="7">
        <f>Inputs!$C$36</f>
        <v>6</v>
      </c>
      <c r="AK7" s="7">
        <f>Inputs!$C$36</f>
        <v>6</v>
      </c>
      <c r="AL7" s="7">
        <f>Inputs!$C$36</f>
        <v>6</v>
      </c>
    </row>
    <row r="8">
      <c r="A8" s="5" t="inlineStr">
        <is>
          <t>Paid adds (paid $ / cost per convert)</t>
        </is>
      </c>
      <c r="C8" s="7">
        <f>IF(Inputs!$C$38=0,0,Inputs!$C$37/Inputs!$C$38)</f>
        <v>8.571428571428571</v>
      </c>
      <c r="D8" s="7">
        <f>IF(Inputs!$C$38=0,0,Inputs!$C$37/Inputs!$C$38)</f>
        <v>8.571428571428571</v>
      </c>
      <c r="E8" s="7">
        <f>IF(Inputs!$C$38=0,0,Inputs!$C$37/Inputs!$C$38)</f>
        <v>8.571428571428571</v>
      </c>
      <c r="F8" s="7">
        <f>IF(Inputs!$C$38=0,0,Inputs!$C$37/Inputs!$C$38)</f>
        <v>8.571428571428571</v>
      </c>
      <c r="G8" s="7">
        <f>IF(Inputs!$C$38=0,0,Inputs!$C$37/Inputs!$C$38)</f>
        <v>8.571428571428571</v>
      </c>
      <c r="H8" s="7">
        <f>IF(Inputs!$C$38=0,0,Inputs!$C$37/Inputs!$C$38)</f>
        <v>8.571428571428571</v>
      </c>
      <c r="I8" s="7">
        <f>IF(Inputs!$C$38=0,0,Inputs!$C$37/Inputs!$C$38)</f>
        <v>8.571428571428571</v>
      </c>
      <c r="J8" s="7">
        <f>IF(Inputs!$C$38=0,0,Inputs!$C$37/Inputs!$C$38)</f>
        <v>8.571428571428571</v>
      </c>
      <c r="K8" s="7">
        <f>IF(Inputs!$C$38=0,0,Inputs!$C$37/Inputs!$C$38)</f>
        <v>8.571428571428571</v>
      </c>
      <c r="L8" s="7">
        <f>IF(Inputs!$C$38=0,0,Inputs!$C$37/Inputs!$C$38)</f>
        <v>8.571428571428571</v>
      </c>
      <c r="M8" s="7">
        <f>IF(Inputs!$C$38=0,0,Inputs!$C$37/Inputs!$C$38)</f>
        <v>8.571428571428571</v>
      </c>
      <c r="N8" s="7">
        <f>IF(Inputs!$C$38=0,0,Inputs!$C$37/Inputs!$C$38)</f>
        <v>8.571428571428571</v>
      </c>
      <c r="O8" s="7">
        <f>IF(Inputs!$C$38=0,0,Inputs!$C$37/Inputs!$C$38)</f>
        <v>8.571428571428571</v>
      </c>
      <c r="P8" s="7">
        <f>IF(Inputs!$C$38=0,0,Inputs!$C$37/Inputs!$C$38)</f>
        <v>8.571428571428571</v>
      </c>
      <c r="Q8" s="7">
        <f>IF(Inputs!$C$38=0,0,Inputs!$C$37/Inputs!$C$38)</f>
        <v>8.571428571428571</v>
      </c>
      <c r="R8" s="7">
        <f>IF(Inputs!$C$38=0,0,Inputs!$C$37/Inputs!$C$38)</f>
        <v>8.571428571428571</v>
      </c>
      <c r="S8" s="7">
        <f>IF(Inputs!$C$38=0,0,Inputs!$C$37/Inputs!$C$38)</f>
        <v>8.571428571428571</v>
      </c>
      <c r="T8" s="7">
        <f>IF(Inputs!$C$38=0,0,Inputs!$C$37/Inputs!$C$38)</f>
        <v>8.571428571428571</v>
      </c>
      <c r="U8" s="7">
        <f>IF(Inputs!$C$38=0,0,Inputs!$C$37/Inputs!$C$38)</f>
        <v>8.571428571428571</v>
      </c>
      <c r="V8" s="7">
        <f>IF(Inputs!$C$38=0,0,Inputs!$C$37/Inputs!$C$38)</f>
        <v>8.571428571428571</v>
      </c>
      <c r="W8" s="7">
        <f>IF(Inputs!$C$38=0,0,Inputs!$C$37/Inputs!$C$38)</f>
        <v>8.571428571428571</v>
      </c>
      <c r="X8" s="7">
        <f>IF(Inputs!$C$38=0,0,Inputs!$C$37/Inputs!$C$38)</f>
        <v>8.571428571428571</v>
      </c>
      <c r="Y8" s="7">
        <f>IF(Inputs!$C$38=0,0,Inputs!$C$37/Inputs!$C$38)</f>
        <v>8.571428571428571</v>
      </c>
      <c r="Z8" s="7">
        <f>IF(Inputs!$C$38=0,0,Inputs!$C$37/Inputs!$C$38)</f>
        <v>8.571428571428571</v>
      </c>
      <c r="AA8" s="7">
        <f>IF(Inputs!$C$38=0,0,Inputs!$C$37/Inputs!$C$38)</f>
        <v>8.571428571428571</v>
      </c>
      <c r="AB8" s="7">
        <f>IF(Inputs!$C$38=0,0,Inputs!$C$37/Inputs!$C$38)</f>
        <v>8.571428571428571</v>
      </c>
      <c r="AC8" s="7">
        <f>IF(Inputs!$C$38=0,0,Inputs!$C$37/Inputs!$C$38)</f>
        <v>8.571428571428571</v>
      </c>
      <c r="AD8" s="7">
        <f>IF(Inputs!$C$38=0,0,Inputs!$C$37/Inputs!$C$38)</f>
        <v>8.571428571428571</v>
      </c>
      <c r="AE8" s="7">
        <f>IF(Inputs!$C$38=0,0,Inputs!$C$37/Inputs!$C$38)</f>
        <v>8.571428571428571</v>
      </c>
      <c r="AF8" s="7">
        <f>IF(Inputs!$C$38=0,0,Inputs!$C$37/Inputs!$C$38)</f>
        <v>8.571428571428571</v>
      </c>
      <c r="AG8" s="7">
        <f>IF(Inputs!$C$38=0,0,Inputs!$C$37/Inputs!$C$38)</f>
        <v>8.571428571428571</v>
      </c>
      <c r="AH8" s="7">
        <f>IF(Inputs!$C$38=0,0,Inputs!$C$37/Inputs!$C$38)</f>
        <v>8.571428571428571</v>
      </c>
      <c r="AI8" s="7">
        <f>IF(Inputs!$C$38=0,0,Inputs!$C$37/Inputs!$C$38)</f>
        <v>8.571428571428571</v>
      </c>
      <c r="AJ8" s="7">
        <f>IF(Inputs!$C$38=0,0,Inputs!$C$37/Inputs!$C$38)</f>
        <v>8.571428571428571</v>
      </c>
      <c r="AK8" s="7">
        <f>IF(Inputs!$C$38=0,0,Inputs!$C$37/Inputs!$C$38)</f>
        <v>8.571428571428571</v>
      </c>
      <c r="AL8" s="7">
        <f>IF(Inputs!$C$38=0,0,Inputs!$C$37/Inputs!$C$38)</f>
        <v>8.571428571428571</v>
      </c>
    </row>
    <row r="9">
      <c r="A9" s="5" t="inlineStr">
        <is>
          <t>Churned</t>
        </is>
      </c>
      <c r="C9" s="16">
        <f>-C6*Inputs!$B$14</f>
        <v>-0.6</v>
      </c>
      <c r="D9" s="16">
        <f>-D6*Inputs!$B$14</f>
        <v>-1.019142857142857</v>
      </c>
      <c r="E9" s="16">
        <f>-E6*Inputs!$B$14</f>
        <v>-1.4257114285714283</v>
      </c>
      <c r="F9" s="16">
        <f>-F6*Inputs!$B$14</f>
        <v>-1.8200829428571426</v>
      </c>
      <c r="G9" s="16">
        <f>-G6*Inputs!$B$14</f>
        <v>-2.202623311714285</v>
      </c>
      <c r="H9" s="16">
        <f>-H6*Inputs!$B$14</f>
        <v>-2.5736874695057135</v>
      </c>
      <c r="I9" s="16">
        <f>-I6*Inputs!$B$14</f>
        <v>-2.933619702563399</v>
      </c>
      <c r="J9" s="16">
        <f>-J6*Inputs!$B$14</f>
        <v>-3.282753968629354</v>
      </c>
      <c r="K9" s="16">
        <f>-K6*Inputs!$B$14</f>
        <v>-3.6214142067133306</v>
      </c>
      <c r="L9" s="16">
        <f>-L6*Inputs!$B$14</f>
        <v>-3.949914637654788</v>
      </c>
      <c r="M9" s="16">
        <f>-M6*Inputs!$B$14</f>
        <v>-4.268560055668002</v>
      </c>
      <c r="N9" s="16">
        <f>-N6*Inputs!$B$14</f>
        <v>-4.57764611114082</v>
      </c>
      <c r="O9" s="16">
        <f>-O6*Inputs!$B$14</f>
        <v>-4.877459584949453</v>
      </c>
      <c r="P9" s="16">
        <f>-P6*Inputs!$B$14</f>
        <v>-5.168278654543826</v>
      </c>
      <c r="Q9" s="16">
        <f>-Q6*Inputs!$B$14</f>
        <v>-5.4503731520503695</v>
      </c>
      <c r="R9" s="16">
        <f>-R6*Inputs!$B$14</f>
        <v>-5.724004814631716</v>
      </c>
      <c r="S9" s="16">
        <f>-S6*Inputs!$B$14</f>
        <v>-5.989427527335622</v>
      </c>
      <c r="T9" s="16">
        <f>-T6*Inputs!$B$14</f>
        <v>-6.24688755865841</v>
      </c>
      <c r="U9" s="16">
        <f>-U6*Inputs!$B$14</f>
        <v>-6.496623789041515</v>
      </c>
      <c r="V9" s="16">
        <f>-V6*Inputs!$B$14</f>
        <v>-6.738867932513128</v>
      </c>
      <c r="W9" s="16">
        <f>-W6*Inputs!$B$14</f>
        <v>-6.973844751680591</v>
      </c>
      <c r="X9" s="16">
        <f>-X6*Inputs!$B$14</f>
        <v>-7.201772266273031</v>
      </c>
      <c r="Y9" s="16">
        <f>-Y6*Inputs!$B$14</f>
        <v>-7.422861955427698</v>
      </c>
      <c r="Z9" s="16">
        <f>-Z6*Inputs!$B$14</f>
        <v>-7.637318953907725</v>
      </c>
      <c r="AA9" s="16">
        <f>-AA6*Inputs!$B$14</f>
        <v>-7.845342242433351</v>
      </c>
      <c r="AB9" s="16">
        <f>-AB6*Inputs!$B$14</f>
        <v>-8.047124832303208</v>
      </c>
      <c r="AC9" s="16">
        <f>-AC6*Inputs!$B$14</f>
        <v>-8.242853944476968</v>
      </c>
      <c r="AD9" s="16">
        <f>-AD6*Inputs!$B$14</f>
        <v>-8.432711183285516</v>
      </c>
      <c r="AE9" s="16">
        <f>-AE6*Inputs!$B$14</f>
        <v>-8.616872704929808</v>
      </c>
      <c r="AF9" s="16">
        <f>-AF6*Inputs!$B$14</f>
        <v>-8.79550938092477</v>
      </c>
      <c r="AG9" s="16">
        <f>-AG6*Inputs!$B$14</f>
        <v>-8.968786956639883</v>
      </c>
      <c r="AH9" s="16">
        <f>-AH6*Inputs!$B$14</f>
        <v>-9.136866205083544</v>
      </c>
      <c r="AI9" s="16">
        <f>-AI6*Inputs!$B$14</f>
        <v>-9.299903076073894</v>
      </c>
      <c r="AJ9" s="16">
        <f>-AJ6*Inputs!$B$14</f>
        <v>-9.458048840934534</v>
      </c>
      <c r="AK9" s="16">
        <f>-AK6*Inputs!$B$14</f>
        <v>-9.611450232849355</v>
      </c>
      <c r="AL9" s="16">
        <f>-AL6*Inputs!$B$14</f>
        <v>-9.76024958300673</v>
      </c>
    </row>
    <row r="10">
      <c r="A10" s="3" t="inlineStr">
        <is>
          <t>Paying individuals, end of month</t>
        </is>
      </c>
      <c r="C10" s="17">
        <f>C6+C7+C8+C9</f>
        <v>33.97142857142857</v>
      </c>
      <c r="D10" s="17">
        <f>D6+D7+D8+D9</f>
        <v>47.52371428571428</v>
      </c>
      <c r="E10" s="17">
        <f>E6+E7+E8+E9</f>
        <v>60.66943142857142</v>
      </c>
      <c r="F10" s="17">
        <f>F6+F7+F8+F9</f>
        <v>73.42077705714284</v>
      </c>
      <c r="G10" s="17">
        <f>G6+G7+G8+G9</f>
        <v>85.78958231685712</v>
      </c>
      <c r="H10" s="17">
        <f>H6+H7+H8+H9</f>
        <v>97.78732341877998</v>
      </c>
      <c r="I10" s="17">
        <f>I6+I7+I8+I9</f>
        <v>109.42513228764514</v>
      </c>
      <c r="J10" s="17">
        <f>J6+J7+J8+J9</f>
        <v>120.71380689044436</v>
      </c>
      <c r="K10" s="17">
        <f>K6+K7+K8+K9</f>
        <v>131.6638212551596</v>
      </c>
      <c r="L10" s="17">
        <f>L6+L7+L8+L9</f>
        <v>142.2853351889334</v>
      </c>
      <c r="M10" s="17">
        <f>M6+M7+M8+M9</f>
        <v>152.588203704694</v>
      </c>
      <c r="N10" s="17">
        <f>N6+N7+N8+N9</f>
        <v>162.58198616498177</v>
      </c>
      <c r="O10" s="17">
        <f>O6+O7+O8+O9</f>
        <v>172.2759551514609</v>
      </c>
      <c r="P10" s="17">
        <f>P6+P7+P8+P9</f>
        <v>181.67910506834565</v>
      </c>
      <c r="Q10" s="17">
        <f>Q6+Q7+Q8+Q9</f>
        <v>190.80016048772387</v>
      </c>
      <c r="R10" s="17">
        <f>R6+R7+R8+R9</f>
        <v>199.64758424452074</v>
      </c>
      <c r="S10" s="17">
        <f>S6+S7+S8+S9</f>
        <v>208.2295852886137</v>
      </c>
      <c r="T10" s="17">
        <f>T6+T7+T8+T9</f>
        <v>216.55412630138386</v>
      </c>
      <c r="U10" s="17">
        <f>U6+U7+U8+U9</f>
        <v>224.62893108377094</v>
      </c>
      <c r="V10" s="17">
        <f>V6+V7+V8+V9</f>
        <v>232.4614917226864</v>
      </c>
      <c r="W10" s="17">
        <f>W6+W7+W8+W9</f>
        <v>240.05907554243439</v>
      </c>
      <c r="X10" s="17">
        <f>X6+X7+X8+X9</f>
        <v>247.42873184758994</v>
      </c>
      <c r="Y10" s="17">
        <f>Y6+Y7+Y8+Y9</f>
        <v>254.57729846359084</v>
      </c>
      <c r="Z10" s="17">
        <f>Z6+Z7+Z8+Z9</f>
        <v>261.5114080811117</v>
      </c>
      <c r="AA10" s="17">
        <f>AA6+AA7+AA8+AA9</f>
        <v>268.23749441010693</v>
      </c>
      <c r="AB10" s="17">
        <f>AB6+AB7+AB8+AB9</f>
        <v>274.7617981492323</v>
      </c>
      <c r="AC10" s="17">
        <f>AC6+AC7+AC8+AC9</f>
        <v>281.09037277618387</v>
      </c>
      <c r="AD10" s="17">
        <f>AD6+AD7+AD8+AD9</f>
        <v>287.2290901643269</v>
      </c>
      <c r="AE10" s="17">
        <f>AE6+AE7+AE8+AE9</f>
        <v>293.1836460308257</v>
      </c>
      <c r="AF10" s="17">
        <f>AF6+AF7+AF8+AF9</f>
        <v>298.95956522132946</v>
      </c>
      <c r="AG10" s="17">
        <f>AG6+AG7+AG8+AG9</f>
        <v>304.56220683611815</v>
      </c>
      <c r="AH10" s="17">
        <f>AH6+AH7+AH8+AH9</f>
        <v>309.99676920246316</v>
      </c>
      <c r="AI10" s="17">
        <f>AI6+AI7+AI8+AI9</f>
        <v>315.2682946978178</v>
      </c>
      <c r="AJ10" s="17">
        <f>AJ6+AJ7+AJ8+AJ9</f>
        <v>320.38167442831184</v>
      </c>
      <c r="AK10" s="17">
        <f>AK6+AK7+AK8+AK9</f>
        <v>325.34165276689106</v>
      </c>
      <c r="AL10" s="17">
        <f>AL6+AL7+AL8+AL9</f>
        <v>330.1528317553129</v>
      </c>
    </row>
    <row r="11">
      <c r="A11" s="5" t="inlineStr">
        <is>
          <t>Organization packs sold, cumulative</t>
        </is>
      </c>
      <c r="C11" s="8">
        <f>Inputs!$C$44</f>
        <v>0.5</v>
      </c>
      <c r="D11" s="8">
        <f>C11+Inputs!$C$44</f>
        <v>1.0</v>
      </c>
      <c r="E11" s="8">
        <f>D11+Inputs!$C$44</f>
        <v>1.5</v>
      </c>
      <c r="F11" s="8">
        <f>E11+Inputs!$C$44</f>
        <v>2.0</v>
      </c>
      <c r="G11" s="8">
        <f>F11+Inputs!$C$44</f>
        <v>2.5</v>
      </c>
      <c r="H11" s="8">
        <f>G11+Inputs!$C$44</f>
        <v>3.0</v>
      </c>
      <c r="I11" s="8">
        <f>H11+Inputs!$C$44</f>
        <v>3.5</v>
      </c>
      <c r="J11" s="8">
        <f>I11+Inputs!$C$44</f>
        <v>4.0</v>
      </c>
      <c r="K11" s="8">
        <f>J11+Inputs!$C$44</f>
        <v>4.5</v>
      </c>
      <c r="L11" s="8">
        <f>K11+Inputs!$C$44</f>
        <v>5.0</v>
      </c>
      <c r="M11" s="8">
        <f>L11+Inputs!$C$44</f>
        <v>5.5</v>
      </c>
      <c r="N11" s="8">
        <f>M11+Inputs!$C$44</f>
        <v>6.0</v>
      </c>
      <c r="O11" s="8">
        <f>N11+Inputs!$C$44</f>
        <v>6.5</v>
      </c>
      <c r="P11" s="8">
        <f>O11+Inputs!$C$44</f>
        <v>7.0</v>
      </c>
      <c r="Q11" s="8">
        <f>P11+Inputs!$C$44</f>
        <v>7.5</v>
      </c>
      <c r="R11" s="8">
        <f>Q11+Inputs!$C$44</f>
        <v>8.0</v>
      </c>
      <c r="S11" s="8">
        <f>R11+Inputs!$C$44</f>
        <v>8.5</v>
      </c>
      <c r="T11" s="8">
        <f>S11+Inputs!$C$44</f>
        <v>9.0</v>
      </c>
      <c r="U11" s="8">
        <f>T11+Inputs!$C$44</f>
        <v>9.5</v>
      </c>
      <c r="V11" s="8">
        <f>U11+Inputs!$C$44</f>
        <v>10.0</v>
      </c>
      <c r="W11" s="8">
        <f>V11+Inputs!$C$44</f>
        <v>10.5</v>
      </c>
      <c r="X11" s="8">
        <f>W11+Inputs!$C$44</f>
        <v>11.0</v>
      </c>
      <c r="Y11" s="8">
        <f>X11+Inputs!$C$44</f>
        <v>11.5</v>
      </c>
      <c r="Z11" s="8">
        <f>Y11+Inputs!$C$44</f>
        <v>12.0</v>
      </c>
      <c r="AA11" s="8">
        <f>Z11+Inputs!$C$44</f>
        <v>12.5</v>
      </c>
      <c r="AB11" s="8">
        <f>AA11+Inputs!$C$44</f>
        <v>13.0</v>
      </c>
      <c r="AC11" s="8">
        <f>AB11+Inputs!$C$44</f>
        <v>13.5</v>
      </c>
      <c r="AD11" s="8">
        <f>AC11+Inputs!$C$44</f>
        <v>14.0</v>
      </c>
      <c r="AE11" s="8">
        <f>AD11+Inputs!$C$44</f>
        <v>14.5</v>
      </c>
      <c r="AF11" s="8">
        <f>AE11+Inputs!$C$44</f>
        <v>15.0</v>
      </c>
      <c r="AG11" s="8">
        <f>AF11+Inputs!$C$44</f>
        <v>15.5</v>
      </c>
      <c r="AH11" s="8">
        <f>AG11+Inputs!$C$44</f>
        <v>16.0</v>
      </c>
      <c r="AI11" s="8">
        <f>AH11+Inputs!$C$44</f>
        <v>16.5</v>
      </c>
      <c r="AJ11" s="8">
        <f>AI11+Inputs!$C$44</f>
        <v>17.0</v>
      </c>
      <c r="AK11" s="8">
        <f>AJ11+Inputs!$C$44</f>
        <v>17.5</v>
      </c>
      <c r="AL11" s="8">
        <f>AK11+Inputs!$C$44</f>
        <v>18.0</v>
      </c>
    </row>
    <row r="12">
      <c r="A12" s="5" t="inlineStr">
        <is>
          <t>Organization seats active</t>
        </is>
      </c>
      <c r="C12" s="16">
        <f>C11*Inputs!$B$15</f>
        <v>15.0</v>
      </c>
      <c r="D12" s="16">
        <f>D11*Inputs!$B$15</f>
        <v>30</v>
      </c>
      <c r="E12" s="16">
        <f>E11*Inputs!$B$15</f>
        <v>45.0</v>
      </c>
      <c r="F12" s="16">
        <f>F11*Inputs!$B$15</f>
        <v>60</v>
      </c>
      <c r="G12" s="16">
        <f>G11*Inputs!$B$15</f>
        <v>75.0</v>
      </c>
      <c r="H12" s="16">
        <f>H11*Inputs!$B$15</f>
        <v>90</v>
      </c>
      <c r="I12" s="16">
        <f>I11*Inputs!$B$15</f>
        <v>105.0</v>
      </c>
      <c r="J12" s="16">
        <f>J11*Inputs!$B$15</f>
        <v>120</v>
      </c>
      <c r="K12" s="16">
        <f>K11*Inputs!$B$15</f>
        <v>135.0</v>
      </c>
      <c r="L12" s="16">
        <f>L11*Inputs!$B$15</f>
        <v>150</v>
      </c>
      <c r="M12" s="16">
        <f>M11*Inputs!$B$15</f>
        <v>165.0</v>
      </c>
      <c r="N12" s="16">
        <f>N11*Inputs!$B$15</f>
        <v>180</v>
      </c>
      <c r="O12" s="16">
        <f>O11*Inputs!$B$15</f>
        <v>195.0</v>
      </c>
      <c r="P12" s="16">
        <f>P11*Inputs!$B$15</f>
        <v>210</v>
      </c>
      <c r="Q12" s="16">
        <f>Q11*Inputs!$B$15</f>
        <v>225.0</v>
      </c>
      <c r="R12" s="16">
        <f>R11*Inputs!$B$15</f>
        <v>240</v>
      </c>
      <c r="S12" s="16">
        <f>S11*Inputs!$B$15</f>
        <v>255.0</v>
      </c>
      <c r="T12" s="16">
        <f>T11*Inputs!$B$15</f>
        <v>270</v>
      </c>
      <c r="U12" s="16">
        <f>U11*Inputs!$B$15</f>
        <v>285.0</v>
      </c>
      <c r="V12" s="16">
        <f>V11*Inputs!$B$15</f>
        <v>300</v>
      </c>
      <c r="W12" s="16">
        <f>W11*Inputs!$B$15</f>
        <v>315.0</v>
      </c>
      <c r="X12" s="16">
        <f>X11*Inputs!$B$15</f>
        <v>330</v>
      </c>
      <c r="Y12" s="16">
        <f>Y11*Inputs!$B$15</f>
        <v>345.0</v>
      </c>
      <c r="Z12" s="16">
        <f>Z11*Inputs!$B$15</f>
        <v>360</v>
      </c>
      <c r="AA12" s="16">
        <f>AA11*Inputs!$B$15</f>
        <v>375.0</v>
      </c>
      <c r="AB12" s="16">
        <f>AB11*Inputs!$B$15</f>
        <v>390</v>
      </c>
      <c r="AC12" s="16">
        <f>AC11*Inputs!$B$15</f>
        <v>405.0</v>
      </c>
      <c r="AD12" s="16">
        <f>AD11*Inputs!$B$15</f>
        <v>420</v>
      </c>
      <c r="AE12" s="16">
        <f>AE11*Inputs!$B$15</f>
        <v>435.0</v>
      </c>
      <c r="AF12" s="16">
        <f>AF11*Inputs!$B$15</f>
        <v>450</v>
      </c>
      <c r="AG12" s="16">
        <f>AG11*Inputs!$B$15</f>
        <v>465.0</v>
      </c>
      <c r="AH12" s="16">
        <f>AH11*Inputs!$B$15</f>
        <v>480</v>
      </c>
      <c r="AI12" s="16">
        <f>AI11*Inputs!$B$15</f>
        <v>495.0</v>
      </c>
      <c r="AJ12" s="16">
        <f>AJ11*Inputs!$B$15</f>
        <v>510</v>
      </c>
      <c r="AK12" s="16">
        <f>AK11*Inputs!$B$15</f>
        <v>525.0</v>
      </c>
      <c r="AL12" s="16">
        <f>AL11*Inputs!$B$15</f>
        <v>540</v>
      </c>
    </row>
    <row r="13">
      <c r="A13" s="3" t="inlineStr">
        <is>
          <t>Members (individuals + organization seats)</t>
        </is>
      </c>
      <c r="C13" s="17">
        <f>C10+C12</f>
        <v>48.97142857142857</v>
      </c>
      <c r="D13" s="17">
        <f>D10+D12</f>
        <v>77.52371428571428</v>
      </c>
      <c r="E13" s="17">
        <f>E10+E12</f>
        <v>105.66943142857141</v>
      </c>
      <c r="F13" s="17">
        <f>F10+F12</f>
        <v>133.42077705714286</v>
      </c>
      <c r="G13" s="17">
        <f>G10+G12</f>
        <v>160.78958231685712</v>
      </c>
      <c r="H13" s="17">
        <f>H10+H12</f>
        <v>187.78732341877998</v>
      </c>
      <c r="I13" s="17">
        <f>I10+I12</f>
        <v>214.42513228764514</v>
      </c>
      <c r="J13" s="17">
        <f>J10+J12</f>
        <v>240.71380689044435</v>
      </c>
      <c r="K13" s="17">
        <f>K10+K12</f>
        <v>266.66382125515963</v>
      </c>
      <c r="L13" s="17">
        <f>L10+L12</f>
        <v>292.2853351889334</v>
      </c>
      <c r="M13" s="17">
        <f>M10+M12</f>
        <v>317.588203704694</v>
      </c>
      <c r="N13" s="17">
        <f>N10+N12</f>
        <v>342.5819861649818</v>
      </c>
      <c r="O13" s="17">
        <f>O10+O12</f>
        <v>367.2759551514609</v>
      </c>
      <c r="P13" s="17">
        <f>P10+P12</f>
        <v>391.6791050683456</v>
      </c>
      <c r="Q13" s="17">
        <f>Q10+Q12</f>
        <v>415.8001604877239</v>
      </c>
      <c r="R13" s="17">
        <f>R10+R12</f>
        <v>439.6475842445208</v>
      </c>
      <c r="S13" s="17">
        <f>S10+S12</f>
        <v>463.2295852886137</v>
      </c>
      <c r="T13" s="17">
        <f>T10+T12</f>
        <v>486.55412630138386</v>
      </c>
      <c r="U13" s="17">
        <f>U10+U12</f>
        <v>509.6289310837709</v>
      </c>
      <c r="V13" s="17">
        <f>V10+V12</f>
        <v>532.4614917226863</v>
      </c>
      <c r="W13" s="17">
        <f>W10+W12</f>
        <v>555.0590755424344</v>
      </c>
      <c r="X13" s="17">
        <f>X10+X12</f>
        <v>577.4287318475899</v>
      </c>
      <c r="Y13" s="17">
        <f>Y10+Y12</f>
        <v>599.5772984635909</v>
      </c>
      <c r="Z13" s="17">
        <f>Z10+Z12</f>
        <v>621.5114080811118</v>
      </c>
      <c r="AA13" s="17">
        <f>AA10+AA12</f>
        <v>643.2374944101069</v>
      </c>
      <c r="AB13" s="17">
        <f>AB10+AB12</f>
        <v>664.7617981492323</v>
      </c>
      <c r="AC13" s="17">
        <f>AC10+AC12</f>
        <v>686.0903727761838</v>
      </c>
      <c r="AD13" s="17">
        <f>AD10+AD12</f>
        <v>707.2290901643269</v>
      </c>
      <c r="AE13" s="17">
        <f>AE10+AE12</f>
        <v>728.1836460308257</v>
      </c>
      <c r="AF13" s="17">
        <f>AF10+AF12</f>
        <v>748.9595652213295</v>
      </c>
      <c r="AG13" s="17">
        <f>AG10+AG12</f>
        <v>769.5622068361181</v>
      </c>
      <c r="AH13" s="17">
        <f>AH10+AH12</f>
        <v>789.9967692024632</v>
      </c>
      <c r="AI13" s="17">
        <f>AI10+AI12</f>
        <v>810.2682946978177</v>
      </c>
      <c r="AJ13" s="17">
        <f>AJ10+AJ12</f>
        <v>830.3816744283118</v>
      </c>
      <c r="AK13" s="17">
        <f>AK10+AK12</f>
        <v>850.341652766891</v>
      </c>
      <c r="AL13" s="17">
        <f>AL10+AL12</f>
        <v>870.152831755313</v>
      </c>
    </row>
    <row r="15">
      <c r="A15" s="1" t="inlineStr">
        <is>
          <t>REVENUE</t>
        </is>
      </c>
    </row>
    <row r="16">
      <c r="A16" s="5" t="inlineStr">
        <is>
          <t>Individual seats</t>
        </is>
      </c>
      <c r="C16" s="18">
        <f>C10*Inputs!$B$13</f>
        <v>339.71428571428567</v>
      </c>
      <c r="D16" s="18">
        <f>D10*Inputs!$B$13</f>
        <v>475.23714285714277</v>
      </c>
      <c r="E16" s="18">
        <f>E10*Inputs!$B$13</f>
        <v>606.6943142857142</v>
      </c>
      <c r="F16" s="18">
        <f>F10*Inputs!$B$13</f>
        <v>734.2077705714285</v>
      </c>
      <c r="G16" s="18">
        <f>G10*Inputs!$B$13</f>
        <v>857.8958231685713</v>
      </c>
      <c r="H16" s="18">
        <f>H10*Inputs!$B$13</f>
        <v>977.8732341877998</v>
      </c>
      <c r="I16" s="18">
        <f>I10*Inputs!$B$13</f>
        <v>1094.2513228764515</v>
      </c>
      <c r="J16" s="18">
        <f>J10*Inputs!$B$13</f>
        <v>1207.1380689044436</v>
      </c>
      <c r="K16" s="18">
        <f>K10*Inputs!$B$13</f>
        <v>1316.638212551596</v>
      </c>
      <c r="L16" s="18">
        <f>L10*Inputs!$B$13</f>
        <v>1422.8533518893341</v>
      </c>
      <c r="M16" s="18">
        <f>M10*Inputs!$B$13</f>
        <v>1525.88203704694</v>
      </c>
      <c r="N16" s="18">
        <f>N10*Inputs!$B$13</f>
        <v>1625.8198616498178</v>
      </c>
      <c r="O16" s="18">
        <f>O10*Inputs!$B$13</f>
        <v>1722.759551514609</v>
      </c>
      <c r="P16" s="18">
        <f>P10*Inputs!$B$13</f>
        <v>1816.7910506834564</v>
      </c>
      <c r="Q16" s="18">
        <f>Q10*Inputs!$B$13</f>
        <v>1908.0016048772386</v>
      </c>
      <c r="R16" s="18">
        <f>R10*Inputs!$B$13</f>
        <v>1996.4758424452075</v>
      </c>
      <c r="S16" s="18">
        <f>S10*Inputs!$B$13</f>
        <v>2082.295852886137</v>
      </c>
      <c r="T16" s="18">
        <f>T10*Inputs!$B$13</f>
        <v>2165.5412630138385</v>
      </c>
      <c r="U16" s="18">
        <f>U10*Inputs!$B$13</f>
        <v>2246.2893108377093</v>
      </c>
      <c r="V16" s="18">
        <f>V10*Inputs!$B$13</f>
        <v>2324.614917226864</v>
      </c>
      <c r="W16" s="18">
        <f>W10*Inputs!$B$13</f>
        <v>2400.590755424344</v>
      </c>
      <c r="X16" s="18">
        <f>X10*Inputs!$B$13</f>
        <v>2474.2873184758996</v>
      </c>
      <c r="Y16" s="18">
        <f>Y10*Inputs!$B$13</f>
        <v>2545.7729846359084</v>
      </c>
      <c r="Z16" s="18">
        <f>Z10*Inputs!$B$13</f>
        <v>2615.114080811117</v>
      </c>
      <c r="AA16" s="18">
        <f>AA10*Inputs!$B$13</f>
        <v>2682.3749441010696</v>
      </c>
      <c r="AB16" s="18">
        <f>AB10*Inputs!$B$13</f>
        <v>2747.6179814923225</v>
      </c>
      <c r="AC16" s="18">
        <f>AC10*Inputs!$B$13</f>
        <v>2810.9037277618386</v>
      </c>
      <c r="AD16" s="18">
        <f>AD10*Inputs!$B$13</f>
        <v>2872.290901643269</v>
      </c>
      <c r="AE16" s="18">
        <f>AE10*Inputs!$B$13</f>
        <v>2931.836460308257</v>
      </c>
      <c r="AF16" s="18">
        <f>AF10*Inputs!$B$13</f>
        <v>2989.5956522132947</v>
      </c>
      <c r="AG16" s="18">
        <f>AG10*Inputs!$B$13</f>
        <v>3045.6220683611814</v>
      </c>
      <c r="AH16" s="18">
        <f>AH10*Inputs!$B$13</f>
        <v>3099.9676920246316</v>
      </c>
      <c r="AI16" s="18">
        <f>AI10*Inputs!$B$13</f>
        <v>3152.682946978178</v>
      </c>
      <c r="AJ16" s="18">
        <f>AJ10*Inputs!$B$13</f>
        <v>3203.816744283118</v>
      </c>
      <c r="AK16" s="18">
        <f>AK10*Inputs!$B$13</f>
        <v>3253.4165276689105</v>
      </c>
      <c r="AL16" s="18">
        <f>AL10*Inputs!$B$13</f>
        <v>3301.528317553129</v>
      </c>
    </row>
    <row r="17">
      <c r="A17" s="5" t="inlineStr">
        <is>
          <t>Organization packs (cash at sale, renewals every 12 months)</t>
        </is>
      </c>
      <c r="C17" s="18">
        <f>Inputs!$C$44*Inputs!$B$15*Inputs!$B$16*1</f>
        <v>1500</v>
      </c>
      <c r="D17" s="18">
        <f>Inputs!$C$44*Inputs!$B$15*Inputs!$B$16*1</f>
        <v>1500</v>
      </c>
      <c r="E17" s="18">
        <f>Inputs!$C$44*Inputs!$B$15*Inputs!$B$16*1</f>
        <v>1500</v>
      </c>
      <c r="F17" s="18">
        <f>Inputs!$C$44*Inputs!$B$15*Inputs!$B$16*1</f>
        <v>1500</v>
      </c>
      <c r="G17" s="18">
        <f>Inputs!$C$44*Inputs!$B$15*Inputs!$B$16*1</f>
        <v>1500</v>
      </c>
      <c r="H17" s="18">
        <f>Inputs!$C$44*Inputs!$B$15*Inputs!$B$16*1</f>
        <v>1500</v>
      </c>
      <c r="I17" s="18">
        <f>Inputs!$C$44*Inputs!$B$15*Inputs!$B$16*1</f>
        <v>1500</v>
      </c>
      <c r="J17" s="18">
        <f>Inputs!$C$44*Inputs!$B$15*Inputs!$B$16*1</f>
        <v>1500</v>
      </c>
      <c r="K17" s="18">
        <f>Inputs!$C$44*Inputs!$B$15*Inputs!$B$16*1</f>
        <v>1500</v>
      </c>
      <c r="L17" s="18">
        <f>Inputs!$C$44*Inputs!$B$15*Inputs!$B$16*1</f>
        <v>1500</v>
      </c>
      <c r="M17" s="18">
        <f>Inputs!$C$44*Inputs!$B$15*Inputs!$B$16*1</f>
        <v>1500</v>
      </c>
      <c r="N17" s="18">
        <f>Inputs!$C$44*Inputs!$B$15*Inputs!$B$16*1</f>
        <v>1500</v>
      </c>
      <c r="O17" s="18">
        <f>Inputs!$C$44*Inputs!$B$15*Inputs!$B$16*2</f>
        <v>3000</v>
      </c>
      <c r="P17" s="18">
        <f>Inputs!$C$44*Inputs!$B$15*Inputs!$B$16*2</f>
        <v>3000</v>
      </c>
      <c r="Q17" s="18">
        <f>Inputs!$C$44*Inputs!$B$15*Inputs!$B$16*2</f>
        <v>3000</v>
      </c>
      <c r="R17" s="18">
        <f>Inputs!$C$44*Inputs!$B$15*Inputs!$B$16*2</f>
        <v>3000</v>
      </c>
      <c r="S17" s="18">
        <f>Inputs!$C$44*Inputs!$B$15*Inputs!$B$16*2</f>
        <v>3000</v>
      </c>
      <c r="T17" s="18">
        <f>Inputs!$C$44*Inputs!$B$15*Inputs!$B$16*2</f>
        <v>3000</v>
      </c>
      <c r="U17" s="18">
        <f>Inputs!$C$44*Inputs!$B$15*Inputs!$B$16*2</f>
        <v>3000</v>
      </c>
      <c r="V17" s="18">
        <f>Inputs!$C$44*Inputs!$B$15*Inputs!$B$16*2</f>
        <v>3000</v>
      </c>
      <c r="W17" s="18">
        <f>Inputs!$C$44*Inputs!$B$15*Inputs!$B$16*2</f>
        <v>3000</v>
      </c>
      <c r="X17" s="18">
        <f>Inputs!$C$44*Inputs!$B$15*Inputs!$B$16*2</f>
        <v>3000</v>
      </c>
      <c r="Y17" s="18">
        <f>Inputs!$C$44*Inputs!$B$15*Inputs!$B$16*2</f>
        <v>3000</v>
      </c>
      <c r="Z17" s="18">
        <f>Inputs!$C$44*Inputs!$B$15*Inputs!$B$16*2</f>
        <v>3000</v>
      </c>
      <c r="AA17" s="18">
        <f>Inputs!$C$44*Inputs!$B$15*Inputs!$B$16*3</f>
        <v>4500</v>
      </c>
      <c r="AB17" s="18">
        <f>Inputs!$C$44*Inputs!$B$15*Inputs!$B$16*3</f>
        <v>4500</v>
      </c>
      <c r="AC17" s="18">
        <f>Inputs!$C$44*Inputs!$B$15*Inputs!$B$16*3</f>
        <v>4500</v>
      </c>
      <c r="AD17" s="18">
        <f>Inputs!$C$44*Inputs!$B$15*Inputs!$B$16*3</f>
        <v>4500</v>
      </c>
      <c r="AE17" s="18">
        <f>Inputs!$C$44*Inputs!$B$15*Inputs!$B$16*3</f>
        <v>4500</v>
      </c>
      <c r="AF17" s="18">
        <f>Inputs!$C$44*Inputs!$B$15*Inputs!$B$16*3</f>
        <v>4500</v>
      </c>
      <c r="AG17" s="18">
        <f>Inputs!$C$44*Inputs!$B$15*Inputs!$B$16*3</f>
        <v>4500</v>
      </c>
      <c r="AH17" s="18">
        <f>Inputs!$C$44*Inputs!$B$15*Inputs!$B$16*3</f>
        <v>4500</v>
      </c>
      <c r="AI17" s="18">
        <f>Inputs!$C$44*Inputs!$B$15*Inputs!$B$16*3</f>
        <v>4500</v>
      </c>
      <c r="AJ17" s="18">
        <f>Inputs!$C$44*Inputs!$B$15*Inputs!$B$16*3</f>
        <v>4500</v>
      </c>
      <c r="AK17" s="18">
        <f>Inputs!$C$44*Inputs!$B$15*Inputs!$B$16*3</f>
        <v>4500</v>
      </c>
      <c r="AL17" s="18">
        <f>Inputs!$C$44*Inputs!$B$15*Inputs!$B$16*3</f>
        <v>4500</v>
      </c>
    </row>
    <row r="18">
      <c r="A18" s="5" t="inlineStr">
        <is>
          <t>Money moved (memo)</t>
        </is>
      </c>
      <c r="C18" s="19">
        <f>C13*Inputs!$B$17</f>
        <v>587.6571428571428</v>
      </c>
      <c r="D18" s="19">
        <f>D13*Inputs!$B$17</f>
        <v>930.2845714285713</v>
      </c>
      <c r="E18" s="19">
        <f>E13*Inputs!$B$17</f>
        <v>1268.0331771428569</v>
      </c>
      <c r="F18" s="19">
        <f>F13*Inputs!$B$17</f>
        <v>1601.0493246857143</v>
      </c>
      <c r="G18" s="19">
        <f>G13*Inputs!$B$17</f>
        <v>1929.4749878022853</v>
      </c>
      <c r="H18" s="19">
        <f>H13*Inputs!$B$17</f>
        <v>2253.4478810253595</v>
      </c>
      <c r="I18" s="19">
        <f>I13*Inputs!$B$17</f>
        <v>2573.1015874517416</v>
      </c>
      <c r="J18" s="19">
        <f>J13*Inputs!$B$17</f>
        <v>2888.565682685332</v>
      </c>
      <c r="K18" s="19">
        <f>K13*Inputs!$B$17</f>
        <v>3199.9658550619156</v>
      </c>
      <c r="L18" s="19">
        <f>L13*Inputs!$B$17</f>
        <v>3507.4240222672006</v>
      </c>
      <c r="M18" s="19">
        <f>M13*Inputs!$B$17</f>
        <v>3811.0584444563283</v>
      </c>
      <c r="N18" s="19">
        <f>N13*Inputs!$B$17</f>
        <v>4110.983833979782</v>
      </c>
      <c r="O18" s="19">
        <f>O13*Inputs!$B$17</f>
        <v>4407.3114618175305</v>
      </c>
      <c r="P18" s="19">
        <f>P13*Inputs!$B$17</f>
        <v>4700.149260820148</v>
      </c>
      <c r="Q18" s="19">
        <f>Q13*Inputs!$B$17</f>
        <v>4989.601925852687</v>
      </c>
      <c r="R18" s="19">
        <f>R13*Inputs!$B$17</f>
        <v>5275.77101093425</v>
      </c>
      <c r="S18" s="19">
        <f>S13*Inputs!$B$17</f>
        <v>5558.7550234633645</v>
      </c>
      <c r="T18" s="19">
        <f>T13*Inputs!$B$17</f>
        <v>5838.649515616607</v>
      </c>
      <c r="U18" s="19">
        <f>U13*Inputs!$B$17</f>
        <v>6115.54717300525</v>
      </c>
      <c r="V18" s="19">
        <f>V13*Inputs!$B$17</f>
        <v>6389.537900672236</v>
      </c>
      <c r="W18" s="19">
        <f>W13*Inputs!$B$17</f>
        <v>6660.708906509212</v>
      </c>
      <c r="X18" s="19">
        <f>X13*Inputs!$B$17</f>
        <v>6929.144782171079</v>
      </c>
      <c r="Y18" s="19">
        <f>Y13*Inputs!$B$17</f>
        <v>7194.92758156309</v>
      </c>
      <c r="Z18" s="19">
        <f>Z13*Inputs!$B$17</f>
        <v>7458.136896973341</v>
      </c>
      <c r="AA18" s="19">
        <f>AA13*Inputs!$B$17</f>
        <v>7718.849932921283</v>
      </c>
      <c r="AB18" s="19">
        <f>AB13*Inputs!$B$17</f>
        <v>7977.141577790788</v>
      </c>
      <c r="AC18" s="19">
        <f>AC13*Inputs!$B$17</f>
        <v>8233.084473314206</v>
      </c>
      <c r="AD18" s="19">
        <f>AD13*Inputs!$B$17</f>
        <v>8486.749081971922</v>
      </c>
      <c r="AE18" s="19">
        <f>AE13*Inputs!$B$17</f>
        <v>8738.203752369907</v>
      </c>
      <c r="AF18" s="19">
        <f>AF13*Inputs!$B$17</f>
        <v>8987.514782655955</v>
      </c>
      <c r="AG18" s="19">
        <f>AG13*Inputs!$B$17</f>
        <v>9234.746482033417</v>
      </c>
      <c r="AH18" s="19">
        <f>AH13*Inputs!$B$17</f>
        <v>9479.961230429559</v>
      </c>
      <c r="AI18" s="19">
        <f>AI13*Inputs!$B$17</f>
        <v>9723.219536373814</v>
      </c>
      <c r="AJ18" s="19">
        <f>AJ13*Inputs!$B$17</f>
        <v>9964.580093139743</v>
      </c>
      <c r="AK18" s="19">
        <f>AK13*Inputs!$B$17</f>
        <v>10204.099833202692</v>
      </c>
      <c r="AL18" s="19">
        <f>AL13*Inputs!$B$17</f>
        <v>10441.833981063755</v>
      </c>
    </row>
    <row r="19">
      <c r="A19" s="5" t="inlineStr">
        <is>
          <t>Platform share of money moved</t>
        </is>
      </c>
      <c r="C19" s="18">
        <f>C18*Inputs!$B$18</f>
        <v>58.76571428571429</v>
      </c>
      <c r="D19" s="18">
        <f>D18*Inputs!$B$18</f>
        <v>93.02845714285714</v>
      </c>
      <c r="E19" s="18">
        <f>E18*Inputs!$B$18</f>
        <v>126.8033177142857</v>
      </c>
      <c r="F19" s="18">
        <f>F18*Inputs!$B$18</f>
        <v>160.10493246857143</v>
      </c>
      <c r="G19" s="18">
        <f>G18*Inputs!$B$18</f>
        <v>192.94749878022856</v>
      </c>
      <c r="H19" s="18">
        <f>H18*Inputs!$B$18</f>
        <v>225.34478810253597</v>
      </c>
      <c r="I19" s="18">
        <f>I18*Inputs!$B$18</f>
        <v>257.3101587451742</v>
      </c>
      <c r="J19" s="18">
        <f>J18*Inputs!$B$18</f>
        <v>288.8565682685332</v>
      </c>
      <c r="K19" s="18">
        <f>K18*Inputs!$B$18</f>
        <v>319.9965855061916</v>
      </c>
      <c r="L19" s="18">
        <f>L18*Inputs!$B$18</f>
        <v>350.74240222672006</v>
      </c>
      <c r="M19" s="18">
        <f>M18*Inputs!$B$18</f>
        <v>381.10584444563284</v>
      </c>
      <c r="N19" s="18">
        <f>N18*Inputs!$B$18</f>
        <v>411.0983833979782</v>
      </c>
      <c r="O19" s="18">
        <f>O18*Inputs!$B$18</f>
        <v>440.73114618175305</v>
      </c>
      <c r="P19" s="18">
        <f>P18*Inputs!$B$18</f>
        <v>470.0149260820148</v>
      </c>
      <c r="Q19" s="18">
        <f>Q18*Inputs!$B$18</f>
        <v>498.9601925852687</v>
      </c>
      <c r="R19" s="18">
        <f>R18*Inputs!$B$18</f>
        <v>527.577101093425</v>
      </c>
      <c r="S19" s="18">
        <f>S18*Inputs!$B$18</f>
        <v>555.8755023463365</v>
      </c>
      <c r="T19" s="18">
        <f>T18*Inputs!$B$18</f>
        <v>583.8649515616606</v>
      </c>
      <c r="U19" s="18">
        <f>U18*Inputs!$B$18</f>
        <v>611.5547173005251</v>
      </c>
      <c r="V19" s="18">
        <f>V18*Inputs!$B$18</f>
        <v>638.9537900672236</v>
      </c>
      <c r="W19" s="18">
        <f>W18*Inputs!$B$18</f>
        <v>666.0708906509212</v>
      </c>
      <c r="X19" s="18">
        <f>X18*Inputs!$B$18</f>
        <v>692.9144782171079</v>
      </c>
      <c r="Y19" s="18">
        <f>Y18*Inputs!$B$18</f>
        <v>719.492758156309</v>
      </c>
      <c r="Z19" s="18">
        <f>Z18*Inputs!$B$18</f>
        <v>745.8136896973342</v>
      </c>
      <c r="AA19" s="18">
        <f>AA18*Inputs!$B$18</f>
        <v>771.8849932921283</v>
      </c>
      <c r="AB19" s="18">
        <f>AB18*Inputs!$B$18</f>
        <v>797.7141577790788</v>
      </c>
      <c r="AC19" s="18">
        <f>AC18*Inputs!$B$18</f>
        <v>823.3084473314207</v>
      </c>
      <c r="AD19" s="18">
        <f>AD18*Inputs!$B$18</f>
        <v>848.6749081971923</v>
      </c>
      <c r="AE19" s="18">
        <f>AE18*Inputs!$B$18</f>
        <v>873.8203752369908</v>
      </c>
      <c r="AF19" s="18">
        <f>AF18*Inputs!$B$18</f>
        <v>898.7514782655956</v>
      </c>
      <c r="AG19" s="18">
        <f>AG18*Inputs!$B$18</f>
        <v>923.4746482033418</v>
      </c>
      <c r="AH19" s="18">
        <f>AH18*Inputs!$B$18</f>
        <v>947.9961230429559</v>
      </c>
      <c r="AI19" s="18">
        <f>AI18*Inputs!$B$18</f>
        <v>972.3219536373814</v>
      </c>
      <c r="AJ19" s="18">
        <f>AJ18*Inputs!$B$18</f>
        <v>996.4580093139743</v>
      </c>
      <c r="AK19" s="18">
        <f>AK18*Inputs!$B$18</f>
        <v>1020.4099833202692</v>
      </c>
      <c r="AL19" s="18">
        <f>AL18*Inputs!$B$18</f>
        <v>1044.1833981063755</v>
      </c>
    </row>
    <row r="20">
      <c r="A20" s="5" t="inlineStr">
        <is>
          <t>Program administration fee</t>
        </is>
      </c>
      <c r="C20" s="18">
        <f>Inputs!$B$19*Inputs!$B$20</f>
        <v>0.0</v>
      </c>
      <c r="D20" s="18">
        <f>Inputs!$B$19*Inputs!$B$20</f>
        <v>0.0</v>
      </c>
      <c r="E20" s="18">
        <f>Inputs!$B$19*Inputs!$B$20</f>
        <v>0.0</v>
      </c>
      <c r="F20" s="18">
        <f>Inputs!$B$19*Inputs!$B$20</f>
        <v>0.0</v>
      </c>
      <c r="G20" s="18">
        <f>Inputs!$B$19*Inputs!$B$20</f>
        <v>0.0</v>
      </c>
      <c r="H20" s="18">
        <f>Inputs!$B$19*Inputs!$B$20</f>
        <v>0.0</v>
      </c>
      <c r="I20" s="18">
        <f>Inputs!$B$19*Inputs!$B$20</f>
        <v>0.0</v>
      </c>
      <c r="J20" s="18">
        <f>Inputs!$B$19*Inputs!$B$20</f>
        <v>0.0</v>
      </c>
      <c r="K20" s="18">
        <f>Inputs!$B$19*Inputs!$B$20</f>
        <v>0.0</v>
      </c>
      <c r="L20" s="18">
        <f>Inputs!$B$19*Inputs!$B$20</f>
        <v>0.0</v>
      </c>
      <c r="M20" s="18">
        <f>Inputs!$B$19*Inputs!$B$20</f>
        <v>0.0</v>
      </c>
      <c r="N20" s="18">
        <f>Inputs!$B$19*Inputs!$B$20</f>
        <v>0.0</v>
      </c>
      <c r="O20" s="18">
        <f>Inputs!$B$19*Inputs!$B$20</f>
        <v>0.0</v>
      </c>
      <c r="P20" s="18">
        <f>Inputs!$B$19*Inputs!$B$20</f>
        <v>0.0</v>
      </c>
      <c r="Q20" s="18">
        <f>Inputs!$B$19*Inputs!$B$20</f>
        <v>0.0</v>
      </c>
      <c r="R20" s="18">
        <f>Inputs!$B$19*Inputs!$B$20</f>
        <v>0.0</v>
      </c>
      <c r="S20" s="18">
        <f>Inputs!$B$19*Inputs!$B$20</f>
        <v>0.0</v>
      </c>
      <c r="T20" s="18">
        <f>Inputs!$B$19*Inputs!$B$20</f>
        <v>0.0</v>
      </c>
      <c r="U20" s="18">
        <f>Inputs!$B$19*Inputs!$B$20</f>
        <v>0.0</v>
      </c>
      <c r="V20" s="18">
        <f>Inputs!$B$19*Inputs!$B$20</f>
        <v>0.0</v>
      </c>
      <c r="W20" s="18">
        <f>Inputs!$B$19*Inputs!$B$20</f>
        <v>0.0</v>
      </c>
      <c r="X20" s="18">
        <f>Inputs!$B$19*Inputs!$B$20</f>
        <v>0.0</v>
      </c>
      <c r="Y20" s="18">
        <f>Inputs!$B$19*Inputs!$B$20</f>
        <v>0.0</v>
      </c>
      <c r="Z20" s="18">
        <f>Inputs!$B$19*Inputs!$B$20</f>
        <v>0.0</v>
      </c>
      <c r="AA20" s="18">
        <f>Inputs!$B$19*Inputs!$B$20</f>
        <v>0.0</v>
      </c>
      <c r="AB20" s="18">
        <f>Inputs!$B$19*Inputs!$B$20</f>
        <v>0.0</v>
      </c>
      <c r="AC20" s="18">
        <f>Inputs!$B$19*Inputs!$B$20</f>
        <v>0.0</v>
      </c>
      <c r="AD20" s="18">
        <f>Inputs!$B$19*Inputs!$B$20</f>
        <v>0.0</v>
      </c>
      <c r="AE20" s="18">
        <f>Inputs!$B$19*Inputs!$B$20</f>
        <v>0.0</v>
      </c>
      <c r="AF20" s="18">
        <f>Inputs!$B$19*Inputs!$B$20</f>
        <v>0.0</v>
      </c>
      <c r="AG20" s="18">
        <f>Inputs!$B$19*Inputs!$B$20</f>
        <v>0.0</v>
      </c>
      <c r="AH20" s="18">
        <f>Inputs!$B$19*Inputs!$B$20</f>
        <v>0.0</v>
      </c>
      <c r="AI20" s="18">
        <f>Inputs!$B$19*Inputs!$B$20</f>
        <v>0.0</v>
      </c>
      <c r="AJ20" s="18">
        <f>Inputs!$B$19*Inputs!$B$20</f>
        <v>0.0</v>
      </c>
      <c r="AK20" s="18">
        <f>Inputs!$B$19*Inputs!$B$20</f>
        <v>0.0</v>
      </c>
      <c r="AL20" s="18">
        <f>Inputs!$B$19*Inputs!$B$20</f>
        <v>0.0</v>
      </c>
    </row>
    <row r="21">
      <c r="A21" s="5" t="inlineStr">
        <is>
          <t>Sponsorships</t>
        </is>
      </c>
      <c r="C21" s="18">
        <f>Inputs!$B$21</f>
        <v>2000</v>
      </c>
      <c r="D21" s="18">
        <f>0</f>
        <v>0</v>
      </c>
      <c r="E21" s="18">
        <f>0</f>
        <v>0</v>
      </c>
      <c r="F21" s="18">
        <f>0</f>
        <v>0</v>
      </c>
      <c r="G21" s="18">
        <f>0</f>
        <v>0</v>
      </c>
      <c r="H21" s="18">
        <f>0</f>
        <v>0</v>
      </c>
      <c r="I21" s="18">
        <f>Inputs!$B$22/12</f>
        <v>0.0</v>
      </c>
      <c r="J21" s="18">
        <f>Inputs!$B$22/12</f>
        <v>0.0</v>
      </c>
      <c r="K21" s="18">
        <f>Inputs!$B$22/12</f>
        <v>0.0</v>
      </c>
      <c r="L21" s="18">
        <f>Inputs!$B$22/12</f>
        <v>0.0</v>
      </c>
      <c r="M21" s="18">
        <f>Inputs!$B$22/12</f>
        <v>0.0</v>
      </c>
      <c r="N21" s="18">
        <f>Inputs!$B$22/12</f>
        <v>0.0</v>
      </c>
      <c r="O21" s="18">
        <f>Inputs!$B$22/12</f>
        <v>0.0</v>
      </c>
      <c r="P21" s="18">
        <f>Inputs!$B$22/12</f>
        <v>0.0</v>
      </c>
      <c r="Q21" s="18">
        <f>Inputs!$B$22/12</f>
        <v>0.0</v>
      </c>
      <c r="R21" s="18">
        <f>Inputs!$B$22/12</f>
        <v>0.0</v>
      </c>
      <c r="S21" s="18">
        <f>Inputs!$B$22/12</f>
        <v>0.0</v>
      </c>
      <c r="T21" s="18">
        <f>Inputs!$B$22/12</f>
        <v>0.0</v>
      </c>
      <c r="U21" s="18">
        <f>Inputs!$B$22/12</f>
        <v>0.0</v>
      </c>
      <c r="V21" s="18">
        <f>Inputs!$B$22/12</f>
        <v>0.0</v>
      </c>
      <c r="W21" s="18">
        <f>Inputs!$B$22/12</f>
        <v>0.0</v>
      </c>
      <c r="X21" s="18">
        <f>Inputs!$B$22/12</f>
        <v>0.0</v>
      </c>
      <c r="Y21" s="18">
        <f>Inputs!$B$22/12</f>
        <v>0.0</v>
      </c>
      <c r="Z21" s="18">
        <f>Inputs!$B$22/12</f>
        <v>0.0</v>
      </c>
      <c r="AA21" s="18">
        <f>Inputs!$B$22/12</f>
        <v>0.0</v>
      </c>
      <c r="AB21" s="18">
        <f>Inputs!$B$22/12</f>
        <v>0.0</v>
      </c>
      <c r="AC21" s="18">
        <f>Inputs!$B$22/12</f>
        <v>0.0</v>
      </c>
      <c r="AD21" s="18">
        <f>Inputs!$B$22/12</f>
        <v>0.0</v>
      </c>
      <c r="AE21" s="18">
        <f>Inputs!$B$22/12</f>
        <v>0.0</v>
      </c>
      <c r="AF21" s="18">
        <f>Inputs!$B$22/12</f>
        <v>0.0</v>
      </c>
      <c r="AG21" s="18">
        <f>Inputs!$B$22/12</f>
        <v>0.0</v>
      </c>
      <c r="AH21" s="18">
        <f>Inputs!$B$22/12</f>
        <v>0.0</v>
      </c>
      <c r="AI21" s="18">
        <f>Inputs!$B$22/12</f>
        <v>0.0</v>
      </c>
      <c r="AJ21" s="18">
        <f>Inputs!$B$22/12</f>
        <v>0.0</v>
      </c>
      <c r="AK21" s="18">
        <f>Inputs!$B$22/12</f>
        <v>0.0</v>
      </c>
      <c r="AL21" s="18">
        <f>Inputs!$B$22/12</f>
        <v>0.0</v>
      </c>
    </row>
    <row r="22">
      <c r="A22" s="5" t="inlineStr">
        <is>
          <t>Recurring revenue (memo: seats + share of money moved + program fee)</t>
        </is>
      </c>
      <c r="C22" s="19">
        <f>C16+C19+C20</f>
        <v>398.47999999999996</v>
      </c>
      <c r="D22" s="19">
        <f>D16+D19+D20</f>
        <v>568.2656</v>
      </c>
      <c r="E22" s="19">
        <f>E16+E19+E20</f>
        <v>733.4976319999998</v>
      </c>
      <c r="F22" s="19">
        <f>F16+F19+F20</f>
        <v>894.3127030399999</v>
      </c>
      <c r="G22" s="19">
        <f>G16+G19+G20</f>
        <v>1050.8433219487997</v>
      </c>
      <c r="H22" s="19">
        <f>H16+H19+H20</f>
        <v>1203.2180222903357</v>
      </c>
      <c r="I22" s="19">
        <f>I16+I19+I20</f>
        <v>1351.5614816216257</v>
      </c>
      <c r="J22" s="19">
        <f>J16+J19+J20</f>
        <v>1495.9946371729768</v>
      </c>
      <c r="K22" s="19">
        <f>K16+K19+K20</f>
        <v>1636.6347980577877</v>
      </c>
      <c r="L22" s="19">
        <f>L16+L19+L20</f>
        <v>1773.5957541160542</v>
      </c>
      <c r="M22" s="19">
        <f>M16+M19+M20</f>
        <v>1906.9878814925728</v>
      </c>
      <c r="N22" s="19">
        <f>N16+N19+N20</f>
        <v>2036.918245047796</v>
      </c>
      <c r="O22" s="19">
        <f>O16+O19+O20</f>
        <v>2163.490697696362</v>
      </c>
      <c r="P22" s="19">
        <f>P16+P19+P20</f>
        <v>2286.8059767654713</v>
      </c>
      <c r="Q22" s="19">
        <f>Q16+Q19+Q20</f>
        <v>2406.961797462507</v>
      </c>
      <c r="R22" s="19">
        <f>R16+R19+R20</f>
        <v>2524.0529435386325</v>
      </c>
      <c r="S22" s="19">
        <f>S16+S19+S20</f>
        <v>2638.171355232473</v>
      </c>
      <c r="T22" s="19">
        <f>T16+T19+T20</f>
        <v>2749.4062145754992</v>
      </c>
      <c r="U22" s="19">
        <f>U16+U19+U20</f>
        <v>2857.8440281382345</v>
      </c>
      <c r="V22" s="19">
        <f>V16+V19+V20</f>
        <v>2963.5687072940873</v>
      </c>
      <c r="W22" s="19">
        <f>W16+W19+W20</f>
        <v>3066.6616460752653</v>
      </c>
      <c r="X22" s="19">
        <f>X16+X19+X20</f>
        <v>3167.2017966930075</v>
      </c>
      <c r="Y22" s="19">
        <f>Y16+Y19+Y20</f>
        <v>3265.2657427922177</v>
      </c>
      <c r="Z22" s="19">
        <f>Z16+Z19+Z20</f>
        <v>3360.9277705084514</v>
      </c>
      <c r="AA22" s="19">
        <f>AA16+AA19+AA20</f>
        <v>3454.259937393198</v>
      </c>
      <c r="AB22" s="19">
        <f>AB16+AB19+AB20</f>
        <v>3545.3321392714015</v>
      </c>
      <c r="AC22" s="19">
        <f>AC16+AC19+AC20</f>
        <v>3634.2121750932592</v>
      </c>
      <c r="AD22" s="19">
        <f>AD16+AD19+AD20</f>
        <v>3720.9658098404616</v>
      </c>
      <c r="AE22" s="19">
        <f>AE16+AE19+AE20</f>
        <v>3805.6568355452478</v>
      </c>
      <c r="AF22" s="19">
        <f>AF16+AF19+AF20</f>
        <v>3888.34713047889</v>
      </c>
      <c r="AG22" s="19">
        <f>AG16+AG19+AG20</f>
        <v>3969.0967165645234</v>
      </c>
      <c r="AH22" s="19">
        <f>AH16+AH19+AH20</f>
        <v>4047.9638150675873</v>
      </c>
      <c r="AI22" s="19">
        <f>AI16+AI19+AI20</f>
        <v>4125.00490061556</v>
      </c>
      <c r="AJ22" s="19">
        <f>AJ16+AJ19+AJ20</f>
        <v>4200.274753597092</v>
      </c>
      <c r="AK22" s="19">
        <f>AK16+AK19+AK20</f>
        <v>4273.82651098918</v>
      </c>
      <c r="AL22" s="19">
        <f>AL16+AL19+AL20</f>
        <v>4345.711715659505</v>
      </c>
    </row>
    <row r="23">
      <c r="A23" s="3" t="inlineStr">
        <is>
          <t>TOTAL REVENUE</t>
        </is>
      </c>
      <c r="C23" s="10">
        <f>C16+C17+C19+C20+C21</f>
        <v>3898.48</v>
      </c>
      <c r="D23" s="10">
        <f>D16+D17+D19+D20+D21</f>
        <v>2068.2655999999997</v>
      </c>
      <c r="E23" s="10">
        <f>E16+E17+E19+E20+E21</f>
        <v>2233.497632</v>
      </c>
      <c r="F23" s="10">
        <f>F16+F17+F19+F20+F21</f>
        <v>2394.3127030399996</v>
      </c>
      <c r="G23" s="10">
        <f>G16+G17+G19+G20+G21</f>
        <v>2550.8433219487997</v>
      </c>
      <c r="H23" s="10">
        <f>H16+H17+H19+H20+H21</f>
        <v>2703.2180222903357</v>
      </c>
      <c r="I23" s="10">
        <f>I16+I17+I19+I20+I21</f>
        <v>2851.5614816216257</v>
      </c>
      <c r="J23" s="10">
        <f>J16+J17+J19+J20+J21</f>
        <v>2995.9946371729766</v>
      </c>
      <c r="K23" s="10">
        <f>K16+K17+K19+K20+K21</f>
        <v>3136.6347980577875</v>
      </c>
      <c r="L23" s="10">
        <f>L16+L17+L19+L20+L21</f>
        <v>3273.595754116054</v>
      </c>
      <c r="M23" s="10">
        <f>M16+M17+M19+M20+M21</f>
        <v>3406.9878814925733</v>
      </c>
      <c r="N23" s="10">
        <f>N16+N17+N19+N20+N21</f>
        <v>3536.9182450477956</v>
      </c>
      <c r="O23" s="10">
        <f>O16+O17+O19+O20+O21</f>
        <v>5163.490697696363</v>
      </c>
      <c r="P23" s="10">
        <f>P16+P17+P19+P20+P21</f>
        <v>5286.80597676547</v>
      </c>
      <c r="Q23" s="10">
        <f>Q16+Q17+Q19+Q20+Q21</f>
        <v>5406.961797462507</v>
      </c>
      <c r="R23" s="10">
        <f>R16+R17+R19+R20+R21</f>
        <v>5524.0529435386325</v>
      </c>
      <c r="S23" s="10">
        <f>S16+S17+S19+S20+S21</f>
        <v>5638.171355232473</v>
      </c>
      <c r="T23" s="10">
        <f>T16+T17+T19+T20+T21</f>
        <v>5749.406214575499</v>
      </c>
      <c r="U23" s="10">
        <f>U16+U17+U19+U20+U21</f>
        <v>5857.8440281382345</v>
      </c>
      <c r="V23" s="10">
        <f>V16+V17+V19+V20+V21</f>
        <v>5963.568707294087</v>
      </c>
      <c r="W23" s="10">
        <f>W16+W17+W19+W20+W21</f>
        <v>6066.661646075265</v>
      </c>
      <c r="X23" s="10">
        <f>X16+X17+X19+X20+X21</f>
        <v>6167.201796693007</v>
      </c>
      <c r="Y23" s="10">
        <f>Y16+Y17+Y19+Y20+Y21</f>
        <v>6265.265742792218</v>
      </c>
      <c r="Z23" s="10">
        <f>Z16+Z17+Z19+Z20+Z21</f>
        <v>6360.927770508451</v>
      </c>
      <c r="AA23" s="10">
        <f>AA16+AA17+AA19+AA20+AA21</f>
        <v>7954.259937393198</v>
      </c>
      <c r="AB23" s="10">
        <f>AB16+AB17+AB19+AB20+AB21</f>
        <v>8045.3321392714015</v>
      </c>
      <c r="AC23" s="10">
        <f>AC16+AC17+AC19+AC20+AC21</f>
        <v>8134.21217509326</v>
      </c>
      <c r="AD23" s="10">
        <f>AD16+AD17+AD19+AD20+AD21</f>
        <v>8220.965809840462</v>
      </c>
      <c r="AE23" s="10">
        <f>AE16+AE17+AE19+AE20+AE21</f>
        <v>8305.656835545247</v>
      </c>
      <c r="AF23" s="10">
        <f>AF16+AF17+AF19+AF20+AF21</f>
        <v>8388.34713047889</v>
      </c>
      <c r="AG23" s="10">
        <f>AG16+AG17+AG19+AG20+AG21</f>
        <v>8469.096716564523</v>
      </c>
      <c r="AH23" s="10">
        <f>AH16+AH17+AH19+AH20+AH21</f>
        <v>8547.963815067587</v>
      </c>
      <c r="AI23" s="10">
        <f>AI16+AI17+AI19+AI20+AI21</f>
        <v>8625.004900615559</v>
      </c>
      <c r="AJ23" s="10">
        <f>AJ16+AJ17+AJ19+AJ20+AJ21</f>
        <v>8700.274753597092</v>
      </c>
      <c r="AK23" s="10">
        <f>AK16+AK17+AK19+AK20+AK21</f>
        <v>8773.82651098918</v>
      </c>
      <c r="AL23" s="10">
        <f>AL16+AL17+AL19+AL20+AL21</f>
        <v>8845.711715659505</v>
      </c>
    </row>
    <row r="25">
      <c r="A25" s="1" t="inlineStr">
        <is>
          <t>COSTS BEFORE FOUNDERS</t>
        </is>
      </c>
    </row>
    <row r="26">
      <c r="A26" s="5" t="inlineStr">
        <is>
          <t>Hosting and tools</t>
        </is>
      </c>
      <c r="C26" s="18">
        <f>Inputs!$B$25</f>
        <v>150</v>
      </c>
      <c r="D26" s="18">
        <f>Inputs!$B$25</f>
        <v>150</v>
      </c>
      <c r="E26" s="18">
        <f>Inputs!$B$25</f>
        <v>150</v>
      </c>
      <c r="F26" s="18">
        <f>Inputs!$B$25</f>
        <v>150</v>
      </c>
      <c r="G26" s="18">
        <f>Inputs!$B$25</f>
        <v>150</v>
      </c>
      <c r="H26" s="18">
        <f>Inputs!$B$25</f>
        <v>150</v>
      </c>
      <c r="I26" s="18">
        <f>Inputs!$B$25</f>
        <v>150</v>
      </c>
      <c r="J26" s="18">
        <f>Inputs!$B$25</f>
        <v>150</v>
      </c>
      <c r="K26" s="18">
        <f>Inputs!$B$25</f>
        <v>150</v>
      </c>
      <c r="L26" s="18">
        <f>Inputs!$B$25</f>
        <v>150</v>
      </c>
      <c r="M26" s="18">
        <f>Inputs!$B$25</f>
        <v>150</v>
      </c>
      <c r="N26" s="18">
        <f>Inputs!$B$25</f>
        <v>150</v>
      </c>
      <c r="O26" s="18">
        <f>Inputs!$B$25</f>
        <v>150</v>
      </c>
      <c r="P26" s="18">
        <f>Inputs!$B$25</f>
        <v>150</v>
      </c>
      <c r="Q26" s="18">
        <f>Inputs!$B$25</f>
        <v>150</v>
      </c>
      <c r="R26" s="18">
        <f>Inputs!$B$25</f>
        <v>150</v>
      </c>
      <c r="S26" s="18">
        <f>Inputs!$B$25</f>
        <v>150</v>
      </c>
      <c r="T26" s="18">
        <f>Inputs!$B$25</f>
        <v>150</v>
      </c>
      <c r="U26" s="18">
        <f>Inputs!$B$25</f>
        <v>150</v>
      </c>
      <c r="V26" s="18">
        <f>Inputs!$B$25</f>
        <v>150</v>
      </c>
      <c r="W26" s="18">
        <f>Inputs!$B$25</f>
        <v>150</v>
      </c>
      <c r="X26" s="18">
        <f>Inputs!$B$25</f>
        <v>150</v>
      </c>
      <c r="Y26" s="18">
        <f>Inputs!$B$25</f>
        <v>150</v>
      </c>
      <c r="Z26" s="18">
        <f>Inputs!$B$25</f>
        <v>150</v>
      </c>
      <c r="AA26" s="18">
        <f>Inputs!$B$25</f>
        <v>150</v>
      </c>
      <c r="AB26" s="18">
        <f>Inputs!$B$25</f>
        <v>150</v>
      </c>
      <c r="AC26" s="18">
        <f>Inputs!$B$25</f>
        <v>150</v>
      </c>
      <c r="AD26" s="18">
        <f>Inputs!$B$25</f>
        <v>150</v>
      </c>
      <c r="AE26" s="18">
        <f>Inputs!$B$25</f>
        <v>150</v>
      </c>
      <c r="AF26" s="18">
        <f>Inputs!$B$25</f>
        <v>150</v>
      </c>
      <c r="AG26" s="18">
        <f>Inputs!$B$25</f>
        <v>150</v>
      </c>
      <c r="AH26" s="18">
        <f>Inputs!$B$25</f>
        <v>150</v>
      </c>
      <c r="AI26" s="18">
        <f>Inputs!$B$25</f>
        <v>150</v>
      </c>
      <c r="AJ26" s="18">
        <f>Inputs!$B$25</f>
        <v>150</v>
      </c>
      <c r="AK26" s="18">
        <f>Inputs!$B$25</f>
        <v>150</v>
      </c>
      <c r="AL26" s="18">
        <f>Inputs!$B$25</f>
        <v>150</v>
      </c>
    </row>
    <row r="27">
      <c r="A27" s="5" t="inlineStr">
        <is>
          <t>Payment processing</t>
        </is>
      </c>
      <c r="C27" s="18">
        <f>C18*Inputs!$B$26</f>
        <v>18.805028571428572</v>
      </c>
      <c r="D27" s="18">
        <f>D18*Inputs!$B$26</f>
        <v>29.769106285714283</v>
      </c>
      <c r="E27" s="18">
        <f>E18*Inputs!$B$26</f>
        <v>40.57706166857142</v>
      </c>
      <c r="F27" s="18">
        <f>F18*Inputs!$B$26</f>
        <v>51.233578389942856</v>
      </c>
      <c r="G27" s="18">
        <f>G18*Inputs!$B$26</f>
        <v>61.743199609673134</v>
      </c>
      <c r="H27" s="18">
        <f>H18*Inputs!$B$26</f>
        <v>72.11033219281151</v>
      </c>
      <c r="I27" s="18">
        <f>I18*Inputs!$B$26</f>
        <v>82.33925079845574</v>
      </c>
      <c r="J27" s="18">
        <f>J18*Inputs!$B$26</f>
        <v>92.43410184593063</v>
      </c>
      <c r="K27" s="18">
        <f>K18*Inputs!$B$26</f>
        <v>102.3989073619813</v>
      </c>
      <c r="L27" s="18">
        <f>L18*Inputs!$B$26</f>
        <v>112.23756871255043</v>
      </c>
      <c r="M27" s="18">
        <f>M18*Inputs!$B$26</f>
        <v>121.9538702226025</v>
      </c>
      <c r="N27" s="18">
        <f>N18*Inputs!$B$26</f>
        <v>131.551482687353</v>
      </c>
      <c r="O27" s="18">
        <f>O18*Inputs!$B$26</f>
        <v>141.033966778161</v>
      </c>
      <c r="P27" s="18">
        <f>P18*Inputs!$B$26</f>
        <v>150.40477634624474</v>
      </c>
      <c r="Q27" s="18">
        <f>Q18*Inputs!$B$26</f>
        <v>159.66726162728597</v>
      </c>
      <c r="R27" s="18">
        <f>R18*Inputs!$B$26</f>
        <v>168.824672349896</v>
      </c>
      <c r="S27" s="18">
        <f>S18*Inputs!$B$26</f>
        <v>177.88016075082766</v>
      </c>
      <c r="T27" s="18">
        <f>T18*Inputs!$B$26</f>
        <v>186.8367844997314</v>
      </c>
      <c r="U27" s="18">
        <f>U18*Inputs!$B$26</f>
        <v>195.697509536168</v>
      </c>
      <c r="V27" s="18">
        <f>V18*Inputs!$B$26</f>
        <v>204.46521282151156</v>
      </c>
      <c r="W27" s="18">
        <f>W18*Inputs!$B$26</f>
        <v>213.1426850082948</v>
      </c>
      <c r="X27" s="18">
        <f>X18*Inputs!$B$26</f>
        <v>221.73263302947453</v>
      </c>
      <c r="Y27" s="18">
        <f>Y18*Inputs!$B$26</f>
        <v>230.23768261001888</v>
      </c>
      <c r="Z27" s="18">
        <f>Z18*Inputs!$B$26</f>
        <v>238.66038070314693</v>
      </c>
      <c r="AA27" s="18">
        <f>AA18*Inputs!$B$26</f>
        <v>247.00319785348105</v>
      </c>
      <c r="AB27" s="18">
        <f>AB18*Inputs!$B$26</f>
        <v>255.26853048930522</v>
      </c>
      <c r="AC27" s="18">
        <f>AC18*Inputs!$B$26</f>
        <v>263.4587031460546</v>
      </c>
      <c r="AD27" s="18">
        <f>AD18*Inputs!$B$26</f>
        <v>271.5759706231015</v>
      </c>
      <c r="AE27" s="18">
        <f>AE18*Inputs!$B$26</f>
        <v>279.62252007583703</v>
      </c>
      <c r="AF27" s="18">
        <f>AF18*Inputs!$B$26</f>
        <v>287.60047304499057</v>
      </c>
      <c r="AG27" s="18">
        <f>AG18*Inputs!$B$26</f>
        <v>295.51188742506935</v>
      </c>
      <c r="AH27" s="18">
        <f>AH18*Inputs!$B$26</f>
        <v>303.3587593737459</v>
      </c>
      <c r="AI27" s="18">
        <f>AI18*Inputs!$B$26</f>
        <v>311.143025163962</v>
      </c>
      <c r="AJ27" s="18">
        <f>AJ18*Inputs!$B$26</f>
        <v>318.86656298047177</v>
      </c>
      <c r="AK27" s="18">
        <f>AK18*Inputs!$B$26</f>
        <v>326.53119466248614</v>
      </c>
      <c r="AL27" s="18">
        <f>AL18*Inputs!$B$26</f>
        <v>334.1386873940402</v>
      </c>
    </row>
    <row r="28">
      <c r="A28" s="5" t="inlineStr">
        <is>
          <t>Bookkeeping and insurance</t>
        </is>
      </c>
      <c r="C28" s="18">
        <f>Inputs!$B$27</f>
        <v>125</v>
      </c>
      <c r="D28" s="18">
        <f>Inputs!$B$27</f>
        <v>125</v>
      </c>
      <c r="E28" s="18">
        <f>Inputs!$B$27</f>
        <v>125</v>
      </c>
      <c r="F28" s="18">
        <f>Inputs!$B$27</f>
        <v>125</v>
      </c>
      <c r="G28" s="18">
        <f>Inputs!$B$27</f>
        <v>125</v>
      </c>
      <c r="H28" s="18">
        <f>Inputs!$B$27</f>
        <v>125</v>
      </c>
      <c r="I28" s="18">
        <f>Inputs!$B$27</f>
        <v>125</v>
      </c>
      <c r="J28" s="18">
        <f>Inputs!$B$27</f>
        <v>125</v>
      </c>
      <c r="K28" s="18">
        <f>Inputs!$B$27</f>
        <v>125</v>
      </c>
      <c r="L28" s="18">
        <f>Inputs!$B$27</f>
        <v>125</v>
      </c>
      <c r="M28" s="18">
        <f>Inputs!$B$27</f>
        <v>125</v>
      </c>
      <c r="N28" s="18">
        <f>Inputs!$B$27</f>
        <v>125</v>
      </c>
      <c r="O28" s="18">
        <f>Inputs!$B$27</f>
        <v>125</v>
      </c>
      <c r="P28" s="18">
        <f>Inputs!$B$27</f>
        <v>125</v>
      </c>
      <c r="Q28" s="18">
        <f>Inputs!$B$27</f>
        <v>125</v>
      </c>
      <c r="R28" s="18">
        <f>Inputs!$B$27</f>
        <v>125</v>
      </c>
      <c r="S28" s="18">
        <f>Inputs!$B$27</f>
        <v>125</v>
      </c>
      <c r="T28" s="18">
        <f>Inputs!$B$27</f>
        <v>125</v>
      </c>
      <c r="U28" s="18">
        <f>Inputs!$B$27</f>
        <v>125</v>
      </c>
      <c r="V28" s="18">
        <f>Inputs!$B$27</f>
        <v>125</v>
      </c>
      <c r="W28" s="18">
        <f>Inputs!$B$27</f>
        <v>125</v>
      </c>
      <c r="X28" s="18">
        <f>Inputs!$B$27</f>
        <v>125</v>
      </c>
      <c r="Y28" s="18">
        <f>Inputs!$B$27</f>
        <v>125</v>
      </c>
      <c r="Z28" s="18">
        <f>Inputs!$B$27</f>
        <v>125</v>
      </c>
      <c r="AA28" s="18">
        <f>Inputs!$B$27</f>
        <v>125</v>
      </c>
      <c r="AB28" s="18">
        <f>Inputs!$B$27</f>
        <v>125</v>
      </c>
      <c r="AC28" s="18">
        <f>Inputs!$B$27</f>
        <v>125</v>
      </c>
      <c r="AD28" s="18">
        <f>Inputs!$B$27</f>
        <v>125</v>
      </c>
      <c r="AE28" s="18">
        <f>Inputs!$B$27</f>
        <v>125</v>
      </c>
      <c r="AF28" s="18">
        <f>Inputs!$B$27</f>
        <v>125</v>
      </c>
      <c r="AG28" s="18">
        <f>Inputs!$B$27</f>
        <v>125</v>
      </c>
      <c r="AH28" s="18">
        <f>Inputs!$B$27</f>
        <v>125</v>
      </c>
      <c r="AI28" s="18">
        <f>Inputs!$B$27</f>
        <v>125</v>
      </c>
      <c r="AJ28" s="18">
        <f>Inputs!$B$27</f>
        <v>125</v>
      </c>
      <c r="AK28" s="18">
        <f>Inputs!$B$27</f>
        <v>125</v>
      </c>
      <c r="AL28" s="18">
        <f>Inputs!$B$27</f>
        <v>125</v>
      </c>
    </row>
    <row r="29">
      <c r="A29" s="5" t="inlineStr">
        <is>
          <t>Formation, franchise taxes, tax return</t>
        </is>
      </c>
      <c r="C29" s="18">
        <f>Inputs!$B$28</f>
        <v>700</v>
      </c>
      <c r="D29" s="18">
        <f>0</f>
        <v>0</v>
      </c>
      <c r="E29" s="18">
        <f>0</f>
        <v>0</v>
      </c>
      <c r="F29" s="18">
        <f>0</f>
        <v>0</v>
      </c>
      <c r="G29" s="18">
        <f>Inputs!$B$29+Inputs!$B$31</f>
        <v>1250</v>
      </c>
      <c r="H29" s="18">
        <f>0</f>
        <v>0</v>
      </c>
      <c r="I29" s="18">
        <f>0</f>
        <v>0</v>
      </c>
      <c r="J29" s="18">
        <f>0</f>
        <v>0</v>
      </c>
      <c r="K29" s="18">
        <f>0</f>
        <v>0</v>
      </c>
      <c r="L29" s="18">
        <f>0</f>
        <v>0</v>
      </c>
      <c r="M29" s="18">
        <f>0</f>
        <v>0</v>
      </c>
      <c r="N29" s="18">
        <f>0</f>
        <v>0</v>
      </c>
      <c r="O29" s="18">
        <f>Inputs!$B$30</f>
        <v>800</v>
      </c>
      <c r="P29" s="18">
        <f>0</f>
        <v>0</v>
      </c>
      <c r="Q29" s="18">
        <f>0</f>
        <v>0</v>
      </c>
      <c r="R29" s="18">
        <f>0</f>
        <v>0</v>
      </c>
      <c r="S29" s="18">
        <f>Inputs!$B$29+Inputs!$B$31</f>
        <v>1250</v>
      </c>
      <c r="T29" s="18">
        <f>0</f>
        <v>0</v>
      </c>
      <c r="U29" s="18">
        <f>0</f>
        <v>0</v>
      </c>
      <c r="V29" s="18">
        <f>0</f>
        <v>0</v>
      </c>
      <c r="W29" s="18">
        <f>0</f>
        <v>0</v>
      </c>
      <c r="X29" s="18">
        <f>0</f>
        <v>0</v>
      </c>
      <c r="Y29" s="18">
        <f>0</f>
        <v>0</v>
      </c>
      <c r="Z29" s="18">
        <f>0</f>
        <v>0</v>
      </c>
      <c r="AA29" s="18">
        <f>Inputs!$B$30</f>
        <v>800</v>
      </c>
      <c r="AB29" s="18">
        <f>0</f>
        <v>0</v>
      </c>
      <c r="AC29" s="18">
        <f>0</f>
        <v>0</v>
      </c>
      <c r="AD29" s="18">
        <f>0</f>
        <v>0</v>
      </c>
      <c r="AE29" s="18">
        <f>Inputs!$B$29+Inputs!$B$31</f>
        <v>1250</v>
      </c>
      <c r="AF29" s="18">
        <f>0</f>
        <v>0</v>
      </c>
      <c r="AG29" s="18">
        <f>0</f>
        <v>0</v>
      </c>
      <c r="AH29" s="18">
        <f>0</f>
        <v>0</v>
      </c>
      <c r="AI29" s="18">
        <f>0</f>
        <v>0</v>
      </c>
      <c r="AJ29" s="18">
        <f>0</f>
        <v>0</v>
      </c>
      <c r="AK29" s="18">
        <f>0</f>
        <v>0</v>
      </c>
      <c r="AL29" s="18">
        <f>0</f>
        <v>0</v>
      </c>
    </row>
    <row r="30">
      <c r="A30" s="5" t="inlineStr">
        <is>
          <t>Contractors</t>
        </is>
      </c>
      <c r="C30" s="18">
        <f>Inputs!$B$32</f>
        <v>0</v>
      </c>
      <c r="D30" s="18">
        <f>Inputs!$B$32</f>
        <v>0</v>
      </c>
      <c r="E30" s="18">
        <f>Inputs!$B$32</f>
        <v>0</v>
      </c>
      <c r="F30" s="18">
        <f>Inputs!$B$32</f>
        <v>0</v>
      </c>
      <c r="G30" s="18">
        <f>Inputs!$B$32</f>
        <v>0</v>
      </c>
      <c r="H30" s="18">
        <f>Inputs!$B$32</f>
        <v>0</v>
      </c>
      <c r="I30" s="18">
        <f>Inputs!$B$32</f>
        <v>0</v>
      </c>
      <c r="J30" s="18">
        <f>Inputs!$B$32</f>
        <v>0</v>
      </c>
      <c r="K30" s="18">
        <f>Inputs!$B$32</f>
        <v>0</v>
      </c>
      <c r="L30" s="18">
        <f>Inputs!$B$32</f>
        <v>0</v>
      </c>
      <c r="M30" s="18">
        <f>Inputs!$B$32</f>
        <v>0</v>
      </c>
      <c r="N30" s="18">
        <f>Inputs!$B$32</f>
        <v>0</v>
      </c>
      <c r="O30" s="18">
        <f>Inputs!$B$32</f>
        <v>0</v>
      </c>
      <c r="P30" s="18">
        <f>Inputs!$B$32</f>
        <v>0</v>
      </c>
      <c r="Q30" s="18">
        <f>Inputs!$B$32</f>
        <v>0</v>
      </c>
      <c r="R30" s="18">
        <f>Inputs!$B$32</f>
        <v>0</v>
      </c>
      <c r="S30" s="18">
        <f>Inputs!$B$32</f>
        <v>0</v>
      </c>
      <c r="T30" s="18">
        <f>Inputs!$B$32</f>
        <v>0</v>
      </c>
      <c r="U30" s="18">
        <f>Inputs!$B$32</f>
        <v>0</v>
      </c>
      <c r="V30" s="18">
        <f>Inputs!$B$32</f>
        <v>0</v>
      </c>
      <c r="W30" s="18">
        <f>Inputs!$B$32</f>
        <v>0</v>
      </c>
      <c r="X30" s="18">
        <f>Inputs!$B$32</f>
        <v>0</v>
      </c>
      <c r="Y30" s="18">
        <f>Inputs!$B$32</f>
        <v>0</v>
      </c>
      <c r="Z30" s="18">
        <f>Inputs!$B$32</f>
        <v>0</v>
      </c>
      <c r="AA30" s="18">
        <f>Inputs!$B$32</f>
        <v>0</v>
      </c>
      <c r="AB30" s="18">
        <f>Inputs!$B$32</f>
        <v>0</v>
      </c>
      <c r="AC30" s="18">
        <f>Inputs!$B$32</f>
        <v>0</v>
      </c>
      <c r="AD30" s="18">
        <f>Inputs!$B$32</f>
        <v>0</v>
      </c>
      <c r="AE30" s="18">
        <f>Inputs!$B$32</f>
        <v>0</v>
      </c>
      <c r="AF30" s="18">
        <f>Inputs!$B$32</f>
        <v>0</v>
      </c>
      <c r="AG30" s="18">
        <f>Inputs!$B$32</f>
        <v>0</v>
      </c>
      <c r="AH30" s="18">
        <f>Inputs!$B$32</f>
        <v>0</v>
      </c>
      <c r="AI30" s="18">
        <f>Inputs!$B$32</f>
        <v>0</v>
      </c>
      <c r="AJ30" s="18">
        <f>Inputs!$B$32</f>
        <v>0</v>
      </c>
      <c r="AK30" s="18">
        <f>Inputs!$B$32</f>
        <v>0</v>
      </c>
      <c r="AL30" s="18">
        <f>Inputs!$B$32</f>
        <v>0</v>
      </c>
    </row>
    <row r="31">
      <c r="A31" s="5" t="inlineStr">
        <is>
          <t>Marketing: paid acquisition</t>
        </is>
      </c>
      <c r="C31" s="6">
        <f>Inputs!$C$37</f>
        <v>300</v>
      </c>
      <c r="D31" s="6">
        <f>Inputs!$C$37</f>
        <v>300</v>
      </c>
      <c r="E31" s="6">
        <f>Inputs!$C$37</f>
        <v>300</v>
      </c>
      <c r="F31" s="6">
        <f>Inputs!$C$37</f>
        <v>300</v>
      </c>
      <c r="G31" s="6">
        <f>Inputs!$C$37</f>
        <v>300</v>
      </c>
      <c r="H31" s="6">
        <f>Inputs!$C$37</f>
        <v>300</v>
      </c>
      <c r="I31" s="6">
        <f>Inputs!$C$37</f>
        <v>300</v>
      </c>
      <c r="J31" s="6">
        <f>Inputs!$C$37</f>
        <v>300</v>
      </c>
      <c r="K31" s="6">
        <f>Inputs!$C$37</f>
        <v>300</v>
      </c>
      <c r="L31" s="6">
        <f>Inputs!$C$37</f>
        <v>300</v>
      </c>
      <c r="M31" s="6">
        <f>Inputs!$C$37</f>
        <v>300</v>
      </c>
      <c r="N31" s="6">
        <f>Inputs!$C$37</f>
        <v>300</v>
      </c>
      <c r="O31" s="6">
        <f>Inputs!$C$37</f>
        <v>300</v>
      </c>
      <c r="P31" s="6">
        <f>Inputs!$C$37</f>
        <v>300</v>
      </c>
      <c r="Q31" s="6">
        <f>Inputs!$C$37</f>
        <v>300</v>
      </c>
      <c r="R31" s="6">
        <f>Inputs!$C$37</f>
        <v>300</v>
      </c>
      <c r="S31" s="6">
        <f>Inputs!$C$37</f>
        <v>300</v>
      </c>
      <c r="T31" s="6">
        <f>Inputs!$C$37</f>
        <v>300</v>
      </c>
      <c r="U31" s="6">
        <f>Inputs!$C$37</f>
        <v>300</v>
      </c>
      <c r="V31" s="6">
        <f>Inputs!$C$37</f>
        <v>300</v>
      </c>
      <c r="W31" s="6">
        <f>Inputs!$C$37</f>
        <v>300</v>
      </c>
      <c r="X31" s="6">
        <f>Inputs!$C$37</f>
        <v>300</v>
      </c>
      <c r="Y31" s="6">
        <f>Inputs!$C$37</f>
        <v>300</v>
      </c>
      <c r="Z31" s="6">
        <f>Inputs!$C$37</f>
        <v>300</v>
      </c>
      <c r="AA31" s="6">
        <f>Inputs!$C$37</f>
        <v>300</v>
      </c>
      <c r="AB31" s="6">
        <f>Inputs!$C$37</f>
        <v>300</v>
      </c>
      <c r="AC31" s="6">
        <f>Inputs!$C$37</f>
        <v>300</v>
      </c>
      <c r="AD31" s="6">
        <f>Inputs!$C$37</f>
        <v>300</v>
      </c>
      <c r="AE31" s="6">
        <f>Inputs!$C$37</f>
        <v>300</v>
      </c>
      <c r="AF31" s="6">
        <f>Inputs!$C$37</f>
        <v>300</v>
      </c>
      <c r="AG31" s="6">
        <f>Inputs!$C$37</f>
        <v>300</v>
      </c>
      <c r="AH31" s="6">
        <f>Inputs!$C$37</f>
        <v>300</v>
      </c>
      <c r="AI31" s="6">
        <f>Inputs!$C$37</f>
        <v>300</v>
      </c>
      <c r="AJ31" s="6">
        <f>Inputs!$C$37</f>
        <v>300</v>
      </c>
      <c r="AK31" s="6">
        <f>Inputs!$C$37</f>
        <v>300</v>
      </c>
      <c r="AL31" s="6">
        <f>Inputs!$C$37</f>
        <v>300</v>
      </c>
    </row>
    <row r="32">
      <c r="A32" s="5" t="inlineStr">
        <is>
          <t>Marketing: gatherings</t>
        </is>
      </c>
      <c r="C32" s="6">
        <f>Inputs!$C$39*Inputs!$C$40</f>
        <v>300</v>
      </c>
      <c r="D32" s="6">
        <f>Inputs!$C$39*Inputs!$C$40</f>
        <v>300</v>
      </c>
      <c r="E32" s="6">
        <f>Inputs!$C$39*Inputs!$C$40</f>
        <v>300</v>
      </c>
      <c r="F32" s="6">
        <f>Inputs!$C$39*Inputs!$C$40</f>
        <v>300</v>
      </c>
      <c r="G32" s="6">
        <f>Inputs!$C$39*Inputs!$C$40</f>
        <v>300</v>
      </c>
      <c r="H32" s="6">
        <f>Inputs!$C$39*Inputs!$C$40</f>
        <v>300</v>
      </c>
      <c r="I32" s="6">
        <f>Inputs!$C$39*Inputs!$C$40</f>
        <v>300</v>
      </c>
      <c r="J32" s="6">
        <f>Inputs!$C$39*Inputs!$C$40</f>
        <v>300</v>
      </c>
      <c r="K32" s="6">
        <f>Inputs!$C$39*Inputs!$C$40</f>
        <v>300</v>
      </c>
      <c r="L32" s="6">
        <f>Inputs!$C$39*Inputs!$C$40</f>
        <v>300</v>
      </c>
      <c r="M32" s="6">
        <f>Inputs!$C$39*Inputs!$C$40</f>
        <v>300</v>
      </c>
      <c r="N32" s="6">
        <f>Inputs!$C$39*Inputs!$C$40</f>
        <v>300</v>
      </c>
      <c r="O32" s="6">
        <f>Inputs!$C$39*Inputs!$C$40</f>
        <v>300</v>
      </c>
      <c r="P32" s="6">
        <f>Inputs!$C$39*Inputs!$C$40</f>
        <v>300</v>
      </c>
      <c r="Q32" s="6">
        <f>Inputs!$C$39*Inputs!$C$40</f>
        <v>300</v>
      </c>
      <c r="R32" s="6">
        <f>Inputs!$C$39*Inputs!$C$40</f>
        <v>300</v>
      </c>
      <c r="S32" s="6">
        <f>Inputs!$C$39*Inputs!$C$40</f>
        <v>300</v>
      </c>
      <c r="T32" s="6">
        <f>Inputs!$C$39*Inputs!$C$40</f>
        <v>300</v>
      </c>
      <c r="U32" s="6">
        <f>Inputs!$C$39*Inputs!$C$40</f>
        <v>300</v>
      </c>
      <c r="V32" s="6">
        <f>Inputs!$C$39*Inputs!$C$40</f>
        <v>300</v>
      </c>
      <c r="W32" s="6">
        <f>Inputs!$C$39*Inputs!$C$40</f>
        <v>300</v>
      </c>
      <c r="X32" s="6">
        <f>Inputs!$C$39*Inputs!$C$40</f>
        <v>300</v>
      </c>
      <c r="Y32" s="6">
        <f>Inputs!$C$39*Inputs!$C$40</f>
        <v>300</v>
      </c>
      <c r="Z32" s="6">
        <f>Inputs!$C$39*Inputs!$C$40</f>
        <v>300</v>
      </c>
      <c r="AA32" s="6">
        <f>Inputs!$C$39*Inputs!$C$40</f>
        <v>300</v>
      </c>
      <c r="AB32" s="6">
        <f>Inputs!$C$39*Inputs!$C$40</f>
        <v>300</v>
      </c>
      <c r="AC32" s="6">
        <f>Inputs!$C$39*Inputs!$C$40</f>
        <v>300</v>
      </c>
      <c r="AD32" s="6">
        <f>Inputs!$C$39*Inputs!$C$40</f>
        <v>300</v>
      </c>
      <c r="AE32" s="6">
        <f>Inputs!$C$39*Inputs!$C$40</f>
        <v>300</v>
      </c>
      <c r="AF32" s="6">
        <f>Inputs!$C$39*Inputs!$C$40</f>
        <v>300</v>
      </c>
      <c r="AG32" s="6">
        <f>Inputs!$C$39*Inputs!$C$40</f>
        <v>300</v>
      </c>
      <c r="AH32" s="6">
        <f>Inputs!$C$39*Inputs!$C$40</f>
        <v>300</v>
      </c>
      <c r="AI32" s="6">
        <f>Inputs!$C$39*Inputs!$C$40</f>
        <v>300</v>
      </c>
      <c r="AJ32" s="6">
        <f>Inputs!$C$39*Inputs!$C$40</f>
        <v>300</v>
      </c>
      <c r="AK32" s="6">
        <f>Inputs!$C$39*Inputs!$C$40</f>
        <v>300</v>
      </c>
      <c r="AL32" s="6">
        <f>Inputs!$C$39*Inputs!$C$40</f>
        <v>300</v>
      </c>
    </row>
    <row r="33">
      <c r="A33" s="5" t="inlineStr">
        <is>
          <t>Marketing: content and tools</t>
        </is>
      </c>
      <c r="C33" s="6">
        <f>Inputs!$C$41</f>
        <v>100</v>
      </c>
      <c r="D33" s="6">
        <f>Inputs!$C$41</f>
        <v>100</v>
      </c>
      <c r="E33" s="6">
        <f>Inputs!$C$41</f>
        <v>100</v>
      </c>
      <c r="F33" s="6">
        <f>Inputs!$C$41</f>
        <v>100</v>
      </c>
      <c r="G33" s="6">
        <f>Inputs!$C$41</f>
        <v>100</v>
      </c>
      <c r="H33" s="6">
        <f>Inputs!$C$41</f>
        <v>100</v>
      </c>
      <c r="I33" s="6">
        <f>Inputs!$C$41</f>
        <v>100</v>
      </c>
      <c r="J33" s="6">
        <f>Inputs!$C$41</f>
        <v>100</v>
      </c>
      <c r="K33" s="6">
        <f>Inputs!$C$41</f>
        <v>100</v>
      </c>
      <c r="L33" s="6">
        <f>Inputs!$C$41</f>
        <v>100</v>
      </c>
      <c r="M33" s="6">
        <f>Inputs!$C$41</f>
        <v>100</v>
      </c>
      <c r="N33" s="6">
        <f>Inputs!$C$41</f>
        <v>100</v>
      </c>
      <c r="O33" s="6">
        <f>Inputs!$C$41</f>
        <v>100</v>
      </c>
      <c r="P33" s="6">
        <f>Inputs!$C$41</f>
        <v>100</v>
      </c>
      <c r="Q33" s="6">
        <f>Inputs!$C$41</f>
        <v>100</v>
      </c>
      <c r="R33" s="6">
        <f>Inputs!$C$41</f>
        <v>100</v>
      </c>
      <c r="S33" s="6">
        <f>Inputs!$C$41</f>
        <v>100</v>
      </c>
      <c r="T33" s="6">
        <f>Inputs!$C$41</f>
        <v>100</v>
      </c>
      <c r="U33" s="6">
        <f>Inputs!$C$41</f>
        <v>100</v>
      </c>
      <c r="V33" s="6">
        <f>Inputs!$C$41</f>
        <v>100</v>
      </c>
      <c r="W33" s="6">
        <f>Inputs!$C$41</f>
        <v>100</v>
      </c>
      <c r="X33" s="6">
        <f>Inputs!$C$41</f>
        <v>100</v>
      </c>
      <c r="Y33" s="6">
        <f>Inputs!$C$41</f>
        <v>100</v>
      </c>
      <c r="Z33" s="6">
        <f>Inputs!$C$41</f>
        <v>100</v>
      </c>
      <c r="AA33" s="6">
        <f>Inputs!$C$41</f>
        <v>100</v>
      </c>
      <c r="AB33" s="6">
        <f>Inputs!$C$41</f>
        <v>100</v>
      </c>
      <c r="AC33" s="6">
        <f>Inputs!$C$41</f>
        <v>100</v>
      </c>
      <c r="AD33" s="6">
        <f>Inputs!$C$41</f>
        <v>100</v>
      </c>
      <c r="AE33" s="6">
        <f>Inputs!$C$41</f>
        <v>100</v>
      </c>
      <c r="AF33" s="6">
        <f>Inputs!$C$41</f>
        <v>100</v>
      </c>
      <c r="AG33" s="6">
        <f>Inputs!$C$41</f>
        <v>100</v>
      </c>
      <c r="AH33" s="6">
        <f>Inputs!$C$41</f>
        <v>100</v>
      </c>
      <c r="AI33" s="6">
        <f>Inputs!$C$41</f>
        <v>100</v>
      </c>
      <c r="AJ33" s="6">
        <f>Inputs!$C$41</f>
        <v>100</v>
      </c>
      <c r="AK33" s="6">
        <f>Inputs!$C$41</f>
        <v>100</v>
      </c>
      <c r="AL33" s="6">
        <f>Inputs!$C$41</f>
        <v>100</v>
      </c>
    </row>
    <row r="34">
      <c r="A34" s="5" t="inlineStr">
        <is>
          <t>Marketing: November 6 and the film series</t>
        </is>
      </c>
      <c r="C34" s="6">
        <f>Inputs!$C$42</f>
        <v>3000</v>
      </c>
      <c r="D34" s="6">
        <f>0</f>
        <v>0</v>
      </c>
      <c r="E34" s="6">
        <f>Inputs!$C$43</f>
        <v>0</v>
      </c>
      <c r="F34" s="6">
        <f>0</f>
        <v>0</v>
      </c>
      <c r="G34" s="6">
        <f>0</f>
        <v>0</v>
      </c>
      <c r="H34" s="6">
        <f>0</f>
        <v>0</v>
      </c>
      <c r="I34" s="6">
        <f>0</f>
        <v>0</v>
      </c>
      <c r="J34" s="6">
        <f>0</f>
        <v>0</v>
      </c>
      <c r="K34" s="6">
        <f>0</f>
        <v>0</v>
      </c>
      <c r="L34" s="6">
        <f>0</f>
        <v>0</v>
      </c>
      <c r="M34" s="6">
        <f>0</f>
        <v>0</v>
      </c>
      <c r="N34" s="6">
        <f>0</f>
        <v>0</v>
      </c>
      <c r="O34" s="6">
        <f>0</f>
        <v>0</v>
      </c>
      <c r="P34" s="6">
        <f>0</f>
        <v>0</v>
      </c>
      <c r="Q34" s="6">
        <f>0</f>
        <v>0</v>
      </c>
      <c r="R34" s="6">
        <f>0</f>
        <v>0</v>
      </c>
      <c r="S34" s="6">
        <f>0</f>
        <v>0</v>
      </c>
      <c r="T34" s="6">
        <f>0</f>
        <v>0</v>
      </c>
      <c r="U34" s="6">
        <f>0</f>
        <v>0</v>
      </c>
      <c r="V34" s="6">
        <f>0</f>
        <v>0</v>
      </c>
      <c r="W34" s="6">
        <f>0</f>
        <v>0</v>
      </c>
      <c r="X34" s="6">
        <f>0</f>
        <v>0</v>
      </c>
      <c r="Y34" s="6">
        <f>0</f>
        <v>0</v>
      </c>
      <c r="Z34" s="6">
        <f>0</f>
        <v>0</v>
      </c>
      <c r="AA34" s="6">
        <f>0</f>
        <v>0</v>
      </c>
      <c r="AB34" s="6">
        <f>0</f>
        <v>0</v>
      </c>
      <c r="AC34" s="6">
        <f>0</f>
        <v>0</v>
      </c>
      <c r="AD34" s="6">
        <f>0</f>
        <v>0</v>
      </c>
      <c r="AE34" s="6">
        <f>0</f>
        <v>0</v>
      </c>
      <c r="AF34" s="6">
        <f>0</f>
        <v>0</v>
      </c>
      <c r="AG34" s="6">
        <f>0</f>
        <v>0</v>
      </c>
      <c r="AH34" s="6">
        <f>0</f>
        <v>0</v>
      </c>
      <c r="AI34" s="6">
        <f>0</f>
        <v>0</v>
      </c>
      <c r="AJ34" s="6">
        <f>0</f>
        <v>0</v>
      </c>
      <c r="AK34" s="6">
        <f>0</f>
        <v>0</v>
      </c>
      <c r="AL34" s="6">
        <f>0</f>
        <v>0</v>
      </c>
    </row>
    <row r="35">
      <c r="A35" s="3" t="inlineStr">
        <is>
          <t>TOTAL COSTS BEFORE FOUNDERS</t>
        </is>
      </c>
      <c r="C35" s="10">
        <f>SUM(C26:C34)</f>
        <v>4693.805028571429</v>
      </c>
      <c r="D35" s="10">
        <f>SUM(D26:D34)</f>
        <v>1004.7691062857143</v>
      </c>
      <c r="E35" s="10">
        <f>SUM(E26:E34)</f>
        <v>1015.5770616685714</v>
      </c>
      <c r="F35" s="10">
        <f>SUM(F26:F34)</f>
        <v>1026.233578389943</v>
      </c>
      <c r="G35" s="10">
        <f>SUM(G26:G34)</f>
        <v>2286.743199609673</v>
      </c>
      <c r="H35" s="10">
        <f>SUM(H26:H34)</f>
        <v>1047.1103321928115</v>
      </c>
      <c r="I35" s="10">
        <f>SUM(I26:I34)</f>
        <v>1057.3392507984559</v>
      </c>
      <c r="J35" s="10">
        <f>SUM(J26:J34)</f>
        <v>1067.4341018459306</v>
      </c>
      <c r="K35" s="10">
        <f>SUM(K26:K34)</f>
        <v>1077.3989073619814</v>
      </c>
      <c r="L35" s="10">
        <f>SUM(L26:L34)</f>
        <v>1087.2375687125505</v>
      </c>
      <c r="M35" s="10">
        <f>SUM(M26:M34)</f>
        <v>1096.9538702226025</v>
      </c>
      <c r="N35" s="10">
        <f>SUM(N26:N34)</f>
        <v>1106.551482687353</v>
      </c>
      <c r="O35" s="10">
        <f>SUM(O26:O34)</f>
        <v>1916.033966778161</v>
      </c>
      <c r="P35" s="10">
        <f>SUM(P26:P34)</f>
        <v>1125.4047763462447</v>
      </c>
      <c r="Q35" s="10">
        <f>SUM(Q26:Q34)</f>
        <v>1134.6672616272858</v>
      </c>
      <c r="R35" s="10">
        <f>SUM(R26:R34)</f>
        <v>1143.824672349896</v>
      </c>
      <c r="S35" s="10">
        <f>SUM(S26:S34)</f>
        <v>2402.8801607508276</v>
      </c>
      <c r="T35" s="10">
        <f>SUM(T26:T34)</f>
        <v>1161.8367844997315</v>
      </c>
      <c r="U35" s="10">
        <f>SUM(U26:U34)</f>
        <v>1170.6975095361681</v>
      </c>
      <c r="V35" s="10">
        <f>SUM(V26:V34)</f>
        <v>1179.4652128215116</v>
      </c>
      <c r="W35" s="10">
        <f>SUM(W26:W34)</f>
        <v>1188.1426850082948</v>
      </c>
      <c r="X35" s="10">
        <f>SUM(X26:X34)</f>
        <v>1196.7326330294745</v>
      </c>
      <c r="Y35" s="10">
        <f>SUM(Y26:Y34)</f>
        <v>1205.237682610019</v>
      </c>
      <c r="Z35" s="10">
        <f>SUM(Z26:Z34)</f>
        <v>1213.660380703147</v>
      </c>
      <c r="AA35" s="10">
        <f>SUM(AA26:AA34)</f>
        <v>2022.0031978534812</v>
      </c>
      <c r="AB35" s="10">
        <f>SUM(AB26:AB34)</f>
        <v>1230.2685304893052</v>
      </c>
      <c r="AC35" s="10">
        <f>SUM(AC26:AC34)</f>
        <v>1238.4587031460546</v>
      </c>
      <c r="AD35" s="10">
        <f>SUM(AD26:AD34)</f>
        <v>1246.5759706231015</v>
      </c>
      <c r="AE35" s="10">
        <f>SUM(AE26:AE34)</f>
        <v>2504.622520075837</v>
      </c>
      <c r="AF35" s="10">
        <f>SUM(AF26:AF34)</f>
        <v>1262.6004730449906</v>
      </c>
      <c r="AG35" s="10">
        <f>SUM(AG26:AG34)</f>
        <v>1270.5118874250693</v>
      </c>
      <c r="AH35" s="10">
        <f>SUM(AH26:AH34)</f>
        <v>1278.358759373746</v>
      </c>
      <c r="AI35" s="10">
        <f>SUM(AI26:AI34)</f>
        <v>1286.143025163962</v>
      </c>
      <c r="AJ35" s="10">
        <f>SUM(AJ26:AJ34)</f>
        <v>1293.8665629804718</v>
      </c>
      <c r="AK35" s="10">
        <f>SUM(AK26:AK34)</f>
        <v>1301.531194662486</v>
      </c>
      <c r="AL35" s="10">
        <f>SUM(AL26:AL34)</f>
        <v>1309.13868739404</v>
      </c>
    </row>
    <row r="36">
      <c r="A36" s="5" t="inlineStr">
        <is>
          <t xml:space="preserve">  of which marketing</t>
        </is>
      </c>
      <c r="C36" s="19">
        <f>SUM(C31:C34)</f>
        <v>3700</v>
      </c>
      <c r="D36" s="19">
        <f>SUM(D31:D34)</f>
        <v>700</v>
      </c>
      <c r="E36" s="19">
        <f>SUM(E31:E34)</f>
        <v>700</v>
      </c>
      <c r="F36" s="19">
        <f>SUM(F31:F34)</f>
        <v>700</v>
      </c>
      <c r="G36" s="19">
        <f>SUM(G31:G34)</f>
        <v>700</v>
      </c>
      <c r="H36" s="19">
        <f>SUM(H31:H34)</f>
        <v>700</v>
      </c>
      <c r="I36" s="19">
        <f>SUM(I31:I34)</f>
        <v>700</v>
      </c>
      <c r="J36" s="19">
        <f>SUM(J31:J34)</f>
        <v>700</v>
      </c>
      <c r="K36" s="19">
        <f>SUM(K31:K34)</f>
        <v>700</v>
      </c>
      <c r="L36" s="19">
        <f>SUM(L31:L34)</f>
        <v>700</v>
      </c>
      <c r="M36" s="19">
        <f>SUM(M31:M34)</f>
        <v>700</v>
      </c>
      <c r="N36" s="19">
        <f>SUM(N31:N34)</f>
        <v>700</v>
      </c>
      <c r="O36" s="19">
        <f>SUM(O31:O34)</f>
        <v>700</v>
      </c>
      <c r="P36" s="19">
        <f>SUM(P31:P34)</f>
        <v>700</v>
      </c>
      <c r="Q36" s="19">
        <f>SUM(Q31:Q34)</f>
        <v>700</v>
      </c>
      <c r="R36" s="19">
        <f>SUM(R31:R34)</f>
        <v>700</v>
      </c>
      <c r="S36" s="19">
        <f>SUM(S31:S34)</f>
        <v>700</v>
      </c>
      <c r="T36" s="19">
        <f>SUM(T31:T34)</f>
        <v>700</v>
      </c>
      <c r="U36" s="19">
        <f>SUM(U31:U34)</f>
        <v>700</v>
      </c>
      <c r="V36" s="19">
        <f>SUM(V31:V34)</f>
        <v>700</v>
      </c>
      <c r="W36" s="19">
        <f>SUM(W31:W34)</f>
        <v>700</v>
      </c>
      <c r="X36" s="19">
        <f>SUM(X31:X34)</f>
        <v>700</v>
      </c>
      <c r="Y36" s="19">
        <f>SUM(Y31:Y34)</f>
        <v>700</v>
      </c>
      <c r="Z36" s="19">
        <f>SUM(Z31:Z34)</f>
        <v>700</v>
      </c>
      <c r="AA36" s="19">
        <f>SUM(AA31:AA34)</f>
        <v>700</v>
      </c>
      <c r="AB36" s="19">
        <f>SUM(AB31:AB34)</f>
        <v>700</v>
      </c>
      <c r="AC36" s="19">
        <f>SUM(AC31:AC34)</f>
        <v>700</v>
      </c>
      <c r="AD36" s="19">
        <f>SUM(AD31:AD34)</f>
        <v>700</v>
      </c>
      <c r="AE36" s="19">
        <f>SUM(AE31:AE34)</f>
        <v>700</v>
      </c>
      <c r="AF36" s="19">
        <f>SUM(AF31:AF34)</f>
        <v>700</v>
      </c>
      <c r="AG36" s="19">
        <f>SUM(AG31:AG34)</f>
        <v>700</v>
      </c>
      <c r="AH36" s="19">
        <f>SUM(AH31:AH34)</f>
        <v>700</v>
      </c>
      <c r="AI36" s="19">
        <f>SUM(AI31:AI34)</f>
        <v>700</v>
      </c>
      <c r="AJ36" s="19">
        <f>SUM(AJ31:AJ34)</f>
        <v>700</v>
      </c>
      <c r="AK36" s="19">
        <f>SUM(AK31:AK34)</f>
        <v>700</v>
      </c>
      <c r="AL36" s="19">
        <f>SUM(AL31:AL34)</f>
        <v>700</v>
      </c>
    </row>
    <row r="38">
      <c r="A38" s="1" t="inlineStr">
        <is>
          <t>CASH</t>
        </is>
      </c>
    </row>
    <row r="39">
      <c r="A39" s="5" t="inlineStr">
        <is>
          <t>Operating cash flow (revenue less costs)</t>
        </is>
      </c>
      <c r="C39" s="18">
        <f>C23-C35</f>
        <v>-795.3250285714289</v>
      </c>
      <c r="D39" s="18">
        <f>D23-D35</f>
        <v>1063.4964937142854</v>
      </c>
      <c r="E39" s="18">
        <f>E23-E35</f>
        <v>1217.9205703314287</v>
      </c>
      <c r="F39" s="18">
        <f>F23-F35</f>
        <v>1368.0791246500567</v>
      </c>
      <c r="G39" s="18">
        <f>G23-G35</f>
        <v>264.10012233912676</v>
      </c>
      <c r="H39" s="18">
        <f>H23-H35</f>
        <v>1656.1076900975243</v>
      </c>
      <c r="I39" s="18">
        <f>I23-I35</f>
        <v>1794.2222308231699</v>
      </c>
      <c r="J39" s="18">
        <f>J23-J35</f>
        <v>1928.560535327046</v>
      </c>
      <c r="K39" s="18">
        <f>K23-K35</f>
        <v>2059.235890695806</v>
      </c>
      <c r="L39" s="18">
        <f>L23-L35</f>
        <v>2186.3581854035037</v>
      </c>
      <c r="M39" s="18">
        <f>M23-M35</f>
        <v>2310.0340112699705</v>
      </c>
      <c r="N39" s="18">
        <f>N23-N35</f>
        <v>2430.3667623604424</v>
      </c>
      <c r="O39" s="18">
        <f>O23-O35</f>
        <v>3247.456730918202</v>
      </c>
      <c r="P39" s="18">
        <f>P23-P35</f>
        <v>4161.4012004192255</v>
      </c>
      <c r="Q39" s="18">
        <f>Q23-Q35</f>
        <v>4272.294535835221</v>
      </c>
      <c r="R39" s="18">
        <f>R23-R35</f>
        <v>4380.2282711887365</v>
      </c>
      <c r="S39" s="18">
        <f>S23-S35</f>
        <v>3235.291194481645</v>
      </c>
      <c r="T39" s="18">
        <f>T23-T35</f>
        <v>4587.569430075768</v>
      </c>
      <c r="U39" s="18">
        <f>U23-U35</f>
        <v>4687.146518602067</v>
      </c>
      <c r="V39" s="18">
        <f>V23-V35</f>
        <v>4784.103494472576</v>
      </c>
      <c r="W39" s="18">
        <f>W23-W35</f>
        <v>4878.5189610669695</v>
      </c>
      <c r="X39" s="18">
        <f>X23-X35</f>
        <v>4970.4691636635325</v>
      </c>
      <c r="Y39" s="18">
        <f>Y23-Y35</f>
        <v>5060.028060182199</v>
      </c>
      <c r="Z39" s="18">
        <f>Z23-Z35</f>
        <v>5147.267389805304</v>
      </c>
      <c r="AA39" s="18">
        <f>AA23-AA35</f>
        <v>5932.256739539716</v>
      </c>
      <c r="AB39" s="18">
        <f>AB23-AB35</f>
        <v>6815.063608782097</v>
      </c>
      <c r="AC39" s="18">
        <f>AC23-AC35</f>
        <v>6895.753471947206</v>
      </c>
      <c r="AD39" s="18">
        <f>AD23-AD35</f>
        <v>6974.38983921736</v>
      </c>
      <c r="AE39" s="18">
        <f>AE23-AE35</f>
        <v>5801.03431546941</v>
      </c>
      <c r="AF39" s="18">
        <f>AF23-AF35</f>
        <v>7125.7466574339005</v>
      </c>
      <c r="AG39" s="18">
        <f>AG23-AG35</f>
        <v>7198.584829139454</v>
      </c>
      <c r="AH39" s="18">
        <f>AH23-AH35</f>
        <v>7269.605055693842</v>
      </c>
      <c r="AI39" s="18">
        <f>AI23-AI35</f>
        <v>7338.8618754515965</v>
      </c>
      <c r="AJ39" s="18">
        <f>AJ23-AJ35</f>
        <v>7406.40819061662</v>
      </c>
      <c r="AK39" s="18">
        <f>AK23-AK35</f>
        <v>7472.295316326694</v>
      </c>
      <c r="AL39" s="18">
        <f>AL23-AL35</f>
        <v>7536.573028265465</v>
      </c>
    </row>
    <row r="40">
      <c r="A40" s="5" t="inlineStr">
        <is>
          <t>Founder distributions (share of revenue once past the threshold)</t>
        </is>
      </c>
      <c r="C40" s="18">
        <f>IF(IF(Inputs!$B$8=1,C22,C23)&gt;=Inputs!$B$6,C23*Inputs!$B$7,0)</f>
        <v>0</v>
      </c>
      <c r="D40" s="18">
        <f>IF(IF(Inputs!$B$8=1,D22,D23)&gt;=Inputs!$B$6,D23*Inputs!$B$7,0)</f>
        <v>0</v>
      </c>
      <c r="E40" s="18">
        <f>IF(IF(Inputs!$B$8=1,E22,E23)&gt;=Inputs!$B$6,E23*Inputs!$B$7,0)</f>
        <v>0</v>
      </c>
      <c r="F40" s="18">
        <f>IF(IF(Inputs!$B$8=1,F22,F23)&gt;=Inputs!$B$6,F23*Inputs!$B$7,0)</f>
        <v>0</v>
      </c>
      <c r="G40" s="18">
        <f>IF(IF(Inputs!$B$8=1,G22,G23)&gt;=Inputs!$B$6,G23*Inputs!$B$7,0)</f>
        <v>765.2529965846398</v>
      </c>
      <c r="H40" s="18">
        <f>IF(IF(Inputs!$B$8=1,H22,H23)&gt;=Inputs!$B$6,H23*Inputs!$B$7,0)</f>
        <v>810.9654066871007</v>
      </c>
      <c r="I40" s="18">
        <f>IF(IF(Inputs!$B$8=1,I22,I23)&gt;=Inputs!$B$6,I23*Inputs!$B$7,0)</f>
        <v>855.4684444864877</v>
      </c>
      <c r="J40" s="18">
        <f>IF(IF(Inputs!$B$8=1,J22,J23)&gt;=Inputs!$B$6,J23*Inputs!$B$7,0)</f>
        <v>898.7983911518929</v>
      </c>
      <c r="K40" s="18">
        <f>IF(IF(Inputs!$B$8=1,K22,K23)&gt;=Inputs!$B$6,K23*Inputs!$B$7,0)</f>
        <v>940.9904394173362</v>
      </c>
      <c r="L40" s="18">
        <f>IF(IF(Inputs!$B$8=1,L22,L23)&gt;=Inputs!$B$6,L23*Inputs!$B$7,0)</f>
        <v>982.0787262348163</v>
      </c>
      <c r="M40" s="18">
        <f>IF(IF(Inputs!$B$8=1,M22,M23)&gt;=Inputs!$B$6,M23*Inputs!$B$7,0)</f>
        <v>1022.096364447772</v>
      </c>
      <c r="N40" s="18">
        <f>IF(IF(Inputs!$B$8=1,N22,N23)&gt;=Inputs!$B$6,N23*Inputs!$B$7,0)</f>
        <v>1061.0754735143387</v>
      </c>
      <c r="O40" s="18">
        <f>IF(IF(Inputs!$B$8=1,O22,O23)&gt;=Inputs!$B$6,O23*Inputs!$B$7,0)</f>
        <v>1549.0472093089088</v>
      </c>
      <c r="P40" s="18">
        <f>IF(IF(Inputs!$B$8=1,P22,P23)&gt;=Inputs!$B$6,P23*Inputs!$B$7,0)</f>
        <v>1586.041793029641</v>
      </c>
      <c r="Q40" s="18">
        <f>IF(IF(Inputs!$B$8=1,Q22,Q23)&gt;=Inputs!$B$6,Q23*Inputs!$B$7,0)</f>
        <v>1622.088539238752</v>
      </c>
      <c r="R40" s="18">
        <f>IF(IF(Inputs!$B$8=1,R22,R23)&gt;=Inputs!$B$6,R23*Inputs!$B$7,0)</f>
        <v>1657.2158830615897</v>
      </c>
      <c r="S40" s="18">
        <f>IF(IF(Inputs!$B$8=1,S22,S23)&gt;=Inputs!$B$6,S23*Inputs!$B$7,0)</f>
        <v>1691.4514065697417</v>
      </c>
      <c r="T40" s="18">
        <f>IF(IF(Inputs!$B$8=1,T22,T23)&gt;=Inputs!$B$6,T23*Inputs!$B$7,0)</f>
        <v>1724.8218643726495</v>
      </c>
      <c r="U40" s="18">
        <f>IF(IF(Inputs!$B$8=1,U22,U23)&gt;=Inputs!$B$6,U23*Inputs!$B$7,0)</f>
        <v>1757.3532084414703</v>
      </c>
      <c r="V40" s="18">
        <f>IF(IF(Inputs!$B$8=1,V22,V23)&gt;=Inputs!$B$6,V23*Inputs!$B$7,0)</f>
        <v>1789.070612188226</v>
      </c>
      <c r="W40" s="18">
        <f>IF(IF(Inputs!$B$8=1,W22,W23)&gt;=Inputs!$B$6,W23*Inputs!$B$7,0)</f>
        <v>1819.9984938225793</v>
      </c>
      <c r="X40" s="18">
        <f>IF(IF(Inputs!$B$8=1,X22,X23)&gt;=Inputs!$B$6,X23*Inputs!$B$7,0)</f>
        <v>1850.1605390079021</v>
      </c>
      <c r="Y40" s="18">
        <f>IF(IF(Inputs!$B$8=1,Y22,Y23)&gt;=Inputs!$B$6,Y23*Inputs!$B$7,0)</f>
        <v>1879.5797228376653</v>
      </c>
      <c r="Z40" s="18">
        <f>IF(IF(Inputs!$B$8=1,Z22,Z23)&gt;=Inputs!$B$6,Z23*Inputs!$B$7,0)</f>
        <v>1908.2783311525354</v>
      </c>
      <c r="AA40" s="18">
        <f>IF(IF(Inputs!$B$8=1,AA22,AA23)&gt;=Inputs!$B$6,AA23*Inputs!$B$7,0)</f>
        <v>2386.277981217959</v>
      </c>
      <c r="AB40" s="18">
        <f>IF(IF(Inputs!$B$8=1,AB22,AB23)&gt;=Inputs!$B$6,AB23*Inputs!$B$7,0)</f>
        <v>2413.5996417814204</v>
      </c>
      <c r="AC40" s="18">
        <f>IF(IF(Inputs!$B$8=1,AC22,AC23)&gt;=Inputs!$B$6,AC23*Inputs!$B$7,0)</f>
        <v>2440.263652527978</v>
      </c>
      <c r="AD40" s="18">
        <f>IF(IF(Inputs!$B$8=1,AD22,AD23)&gt;=Inputs!$B$6,AD23*Inputs!$B$7,0)</f>
        <v>2466.2897429521386</v>
      </c>
      <c r="AE40" s="18">
        <f>IF(IF(Inputs!$B$8=1,AE22,AE23)&gt;=Inputs!$B$6,AE23*Inputs!$B$7,0)</f>
        <v>2491.697050663574</v>
      </c>
      <c r="AF40" s="18">
        <f>IF(IF(Inputs!$B$8=1,AF22,AF23)&gt;=Inputs!$B$6,AF23*Inputs!$B$7,0)</f>
        <v>2516.504139143667</v>
      </c>
      <c r="AG40" s="18">
        <f>IF(IF(Inputs!$B$8=1,AG22,AG23)&gt;=Inputs!$B$6,AG23*Inputs!$B$7,0)</f>
        <v>2540.7290149693567</v>
      </c>
      <c r="AH40" s="18">
        <f>IF(IF(Inputs!$B$8=1,AH22,AH23)&gt;=Inputs!$B$6,AH23*Inputs!$B$7,0)</f>
        <v>2564.389144520276</v>
      </c>
      <c r="AI40" s="18">
        <f>IF(IF(Inputs!$B$8=1,AI22,AI23)&gt;=Inputs!$B$6,AI23*Inputs!$B$7,0)</f>
        <v>2587.5014701846676</v>
      </c>
      <c r="AJ40" s="18">
        <f>IF(IF(Inputs!$B$8=1,AJ22,AJ23)&gt;=Inputs!$B$6,AJ23*Inputs!$B$7,0)</f>
        <v>2610.0824260791273</v>
      </c>
      <c r="AK40" s="18">
        <f>IF(IF(Inputs!$B$8=1,AK22,AK23)&gt;=Inputs!$B$6,AK23*Inputs!$B$7,0)</f>
        <v>2632.1479532967537</v>
      </c>
      <c r="AL40" s="18">
        <f>IF(IF(Inputs!$B$8=1,AL22,AL23)&gt;=Inputs!$B$6,AL23*Inputs!$B$7,0)</f>
        <v>2653.713514697851</v>
      </c>
    </row>
    <row r="41">
      <c r="A41" s="5" t="inlineStr">
        <is>
          <t xml:space="preserve">  per founder</t>
        </is>
      </c>
      <c r="C41" s="19">
        <f>C40/Inputs!$B$9</f>
        <v>0.0</v>
      </c>
      <c r="D41" s="19">
        <f>D40/Inputs!$B$9</f>
        <v>0.0</v>
      </c>
      <c r="E41" s="19">
        <f>E40/Inputs!$B$9</f>
        <v>0.0</v>
      </c>
      <c r="F41" s="19">
        <f>F40/Inputs!$B$9</f>
        <v>0.0</v>
      </c>
      <c r="G41" s="19">
        <f>G40/Inputs!$B$9</f>
        <v>382.6264982923199</v>
      </c>
      <c r="H41" s="19">
        <f>H40/Inputs!$B$9</f>
        <v>405.4827033435503</v>
      </c>
      <c r="I41" s="19">
        <f>I40/Inputs!$B$9</f>
        <v>427.73422224324383</v>
      </c>
      <c r="J41" s="19">
        <f>J40/Inputs!$B$9</f>
        <v>449.39919557594646</v>
      </c>
      <c r="K41" s="19">
        <f>K40/Inputs!$B$9</f>
        <v>470.4952197086681</v>
      </c>
      <c r="L41" s="19">
        <f>L40/Inputs!$B$9</f>
        <v>491.03936311740813</v>
      </c>
      <c r="M41" s="19">
        <f>M40/Inputs!$B$9</f>
        <v>511.048182223886</v>
      </c>
      <c r="N41" s="19">
        <f>N40/Inputs!$B$9</f>
        <v>530.5377367571693</v>
      </c>
      <c r="O41" s="19">
        <f>O40/Inputs!$B$9</f>
        <v>774.5236046544544</v>
      </c>
      <c r="P41" s="19">
        <f>P40/Inputs!$B$9</f>
        <v>793.0208965148205</v>
      </c>
      <c r="Q41" s="19">
        <f>Q40/Inputs!$B$9</f>
        <v>811.044269619376</v>
      </c>
      <c r="R41" s="19">
        <f>R40/Inputs!$B$9</f>
        <v>828.6079415307948</v>
      </c>
      <c r="S41" s="19">
        <f>S40/Inputs!$B$9</f>
        <v>845.7257032848709</v>
      </c>
      <c r="T41" s="19">
        <f>T40/Inputs!$B$9</f>
        <v>862.4109321863248</v>
      </c>
      <c r="U41" s="19">
        <f>U40/Inputs!$B$9</f>
        <v>878.6766042207352</v>
      </c>
      <c r="V41" s="19">
        <f>V40/Inputs!$B$9</f>
        <v>894.535306094113</v>
      </c>
      <c r="W41" s="19">
        <f>W40/Inputs!$B$9</f>
        <v>909.9992469112897</v>
      </c>
      <c r="X41" s="19">
        <f>X40/Inputs!$B$9</f>
        <v>925.0802695039511</v>
      </c>
      <c r="Y41" s="19">
        <f>Y40/Inputs!$B$9</f>
        <v>939.7898614188326</v>
      </c>
      <c r="Z41" s="19">
        <f>Z40/Inputs!$B$9</f>
        <v>954.1391655762677</v>
      </c>
      <c r="AA41" s="19">
        <f>AA40/Inputs!$B$9</f>
        <v>1193.1389906089796</v>
      </c>
      <c r="AB41" s="19">
        <f>AB40/Inputs!$B$9</f>
        <v>1206.7998208907102</v>
      </c>
      <c r="AC41" s="19">
        <f>AC40/Inputs!$B$9</f>
        <v>1220.131826263989</v>
      </c>
      <c r="AD41" s="19">
        <f>AD40/Inputs!$B$9</f>
        <v>1233.1448714760693</v>
      </c>
      <c r="AE41" s="19">
        <f>AE40/Inputs!$B$9</f>
        <v>1245.848525331787</v>
      </c>
      <c r="AF41" s="19">
        <f>AF40/Inputs!$B$9</f>
        <v>1258.2520695718335</v>
      </c>
      <c r="AG41" s="19">
        <f>AG40/Inputs!$B$9</f>
        <v>1270.3645074846784</v>
      </c>
      <c r="AH41" s="19">
        <f>AH40/Inputs!$B$9</f>
        <v>1282.194572260138</v>
      </c>
      <c r="AI41" s="19">
        <f>AI40/Inputs!$B$9</f>
        <v>1293.7507350923338</v>
      </c>
      <c r="AJ41" s="19">
        <f>AJ40/Inputs!$B$9</f>
        <v>1305.0412130395637</v>
      </c>
      <c r="AK41" s="19">
        <f>AK40/Inputs!$B$9</f>
        <v>1316.0739766483769</v>
      </c>
      <c r="AL41" s="19">
        <f>AL40/Inputs!$B$9</f>
        <v>1326.8567573489256</v>
      </c>
    </row>
    <row r="42">
      <c r="A42" s="5" t="inlineStr">
        <is>
          <t>Net cash flow</t>
        </is>
      </c>
      <c r="C42" s="18">
        <f>C39-C40</f>
        <v>-795.3250285714289</v>
      </c>
      <c r="D42" s="18">
        <f>D39-D40</f>
        <v>1063.4964937142854</v>
      </c>
      <c r="E42" s="18">
        <f>E39-E40</f>
        <v>1217.9205703314287</v>
      </c>
      <c r="F42" s="18">
        <f>F39-F40</f>
        <v>1368.0791246500567</v>
      </c>
      <c r="G42" s="18">
        <f>G39-G40</f>
        <v>-501.1528742455131</v>
      </c>
      <c r="H42" s="18">
        <f>H39-H40</f>
        <v>845.1422834104236</v>
      </c>
      <c r="I42" s="18">
        <f>I39-I40</f>
        <v>938.7537863366822</v>
      </c>
      <c r="J42" s="18">
        <f>J39-J40</f>
        <v>1029.762144175153</v>
      </c>
      <c r="K42" s="18">
        <f>K39-K40</f>
        <v>1118.2454512784698</v>
      </c>
      <c r="L42" s="18">
        <f>L39-L40</f>
        <v>1204.2794591686875</v>
      </c>
      <c r="M42" s="18">
        <f>M39-M40</f>
        <v>1287.9376468221985</v>
      </c>
      <c r="N42" s="18">
        <f>N39-N40</f>
        <v>1369.2912888461037</v>
      </c>
      <c r="O42" s="18">
        <f>O39-O40</f>
        <v>1698.4095216092933</v>
      </c>
      <c r="P42" s="18">
        <f>P39-P40</f>
        <v>2575.3594073895847</v>
      </c>
      <c r="Q42" s="18">
        <f>Q39-Q40</f>
        <v>2650.205996596469</v>
      </c>
      <c r="R42" s="18">
        <f>R39-R40</f>
        <v>2723.0123881271466</v>
      </c>
      <c r="S42" s="18">
        <f>S39-S40</f>
        <v>1543.8397879119034</v>
      </c>
      <c r="T42" s="18">
        <f>T39-T40</f>
        <v>2862.747565703118</v>
      </c>
      <c r="U42" s="18">
        <f>U39-U40</f>
        <v>2929.793310160597</v>
      </c>
      <c r="V42" s="18">
        <f>V39-V40</f>
        <v>2995.0328822843503</v>
      </c>
      <c r="W42" s="18">
        <f>W39-W40</f>
        <v>3058.52046724439</v>
      </c>
      <c r="X42" s="18">
        <f>X39-X40</f>
        <v>3120.3086246556304</v>
      </c>
      <c r="Y42" s="18">
        <f>Y39-Y40</f>
        <v>3180.4483373445337</v>
      </c>
      <c r="Z42" s="18">
        <f>Z39-Z40</f>
        <v>3238.989058652769</v>
      </c>
      <c r="AA42" s="18">
        <f>AA39-AA40</f>
        <v>3545.978758321757</v>
      </c>
      <c r="AB42" s="18">
        <f>AB39-AB40</f>
        <v>4401.463967000676</v>
      </c>
      <c r="AC42" s="18">
        <f>AC39-AC40</f>
        <v>4455.489819419228</v>
      </c>
      <c r="AD42" s="18">
        <f>AD39-AD40</f>
        <v>4508.1000962652215</v>
      </c>
      <c r="AE42" s="18">
        <f>AE39-AE40</f>
        <v>3309.337264805836</v>
      </c>
      <c r="AF42" s="18">
        <f>AF39-AF40</f>
        <v>4609.242518290233</v>
      </c>
      <c r="AG42" s="18">
        <f>AG39-AG40</f>
        <v>4657.855814170098</v>
      </c>
      <c r="AH42" s="18">
        <f>AH39-AH40</f>
        <v>4705.2159111735655</v>
      </c>
      <c r="AI42" s="18">
        <f>AI39-AI40</f>
        <v>4751.360405266929</v>
      </c>
      <c r="AJ42" s="18">
        <f>AJ39-AJ40</f>
        <v>4796.325764537492</v>
      </c>
      <c r="AK42" s="18">
        <f>AK39-AK40</f>
        <v>4840.147363029941</v>
      </c>
      <c r="AL42" s="18">
        <f>AL39-AL40</f>
        <v>4882.859513567613</v>
      </c>
    </row>
    <row r="43">
      <c r="A43" s="3" t="inlineStr">
        <is>
          <t>CASH, END OF MONTH</t>
        </is>
      </c>
      <c r="C43" s="10">
        <f>Inputs!$B$5+C42</f>
        <v>9204.67497142857</v>
      </c>
      <c r="D43" s="10">
        <f>C43+D42</f>
        <v>10268.171465142856</v>
      </c>
      <c r="E43" s="10">
        <f>D43+E42</f>
        <v>11486.092035474285</v>
      </c>
      <c r="F43" s="10">
        <f>E43+F42</f>
        <v>12854.17116012434</v>
      </c>
      <c r="G43" s="10">
        <f>F43+G42</f>
        <v>12353.018285878827</v>
      </c>
      <c r="H43" s="10">
        <f>G43+H42</f>
        <v>13198.16056928925</v>
      </c>
      <c r="I43" s="10">
        <f>H43+I42</f>
        <v>14136.914355625931</v>
      </c>
      <c r="J43" s="10">
        <f>I43+J42</f>
        <v>15166.676499801084</v>
      </c>
      <c r="K43" s="10">
        <f>J43+K42</f>
        <v>16284.921951079554</v>
      </c>
      <c r="L43" s="10">
        <f>K43+L42</f>
        <v>17489.201410248243</v>
      </c>
      <c r="M43" s="10">
        <f>L43+M42</f>
        <v>18777.139057070443</v>
      </c>
      <c r="N43" s="10">
        <f>M43+N42</f>
        <v>20146.430345916546</v>
      </c>
      <c r="O43" s="10">
        <f>N43+O42</f>
        <v>21844.83986752584</v>
      </c>
      <c r="P43" s="10">
        <f>O43+P42</f>
        <v>24420.199274915423</v>
      </c>
      <c r="Q43" s="10">
        <f>P43+Q42</f>
        <v>27070.405271511892</v>
      </c>
      <c r="R43" s="10">
        <f>Q43+R42</f>
        <v>29793.41765963904</v>
      </c>
      <c r="S43" s="10">
        <f>R43+S42</f>
        <v>31337.257447550943</v>
      </c>
      <c r="T43" s="10">
        <f>S43+T42</f>
        <v>34200.005013254064</v>
      </c>
      <c r="U43" s="10">
        <f>T43+U42</f>
        <v>37129.79832341466</v>
      </c>
      <c r="V43" s="10">
        <f>U43+V42</f>
        <v>40124.83120569901</v>
      </c>
      <c r="W43" s="10">
        <f>V43+W42</f>
        <v>43183.3516729434</v>
      </c>
      <c r="X43" s="10">
        <f>W43+X42</f>
        <v>46303.660297599024</v>
      </c>
      <c r="Y43" s="10">
        <f>X43+Y42</f>
        <v>49484.10863494356</v>
      </c>
      <c r="Z43" s="10">
        <f>Y43+Z42</f>
        <v>52723.097693596326</v>
      </c>
      <c r="AA43" s="10">
        <f>Z43+AA42</f>
        <v>56269.07645191808</v>
      </c>
      <c r="AB43" s="10">
        <f>AA43+AB42</f>
        <v>60670.540418918754</v>
      </c>
      <c r="AC43" s="10">
        <f>AB43+AC42</f>
        <v>65126.03023833798</v>
      </c>
      <c r="AD43" s="10">
        <f>AC43+AD42</f>
        <v>69634.13033460321</v>
      </c>
      <c r="AE43" s="10">
        <f>AD43+AE42</f>
        <v>72943.46759940905</v>
      </c>
      <c r="AF43" s="10">
        <f>AE43+AF42</f>
        <v>77552.71011769929</v>
      </c>
      <c r="AG43" s="10">
        <f>AF43+AG42</f>
        <v>82210.56593186938</v>
      </c>
      <c r="AH43" s="10">
        <f>AG43+AH42</f>
        <v>86915.78184304295</v>
      </c>
      <c r="AI43" s="10">
        <f>AH43+AI42</f>
        <v>91667.14224830987</v>
      </c>
      <c r="AJ43" s="10">
        <f>AI43+AJ42</f>
        <v>96463.46801284737</v>
      </c>
      <c r="AK43" s="10">
        <f>AJ43+AK42</f>
        <v>101303.61537587731</v>
      </c>
      <c r="AL43" s="10">
        <f>AK43+AL42</f>
        <v>106186.47488944493</v>
      </c>
    </row>
    <row r="44">
      <c r="A44" s="5" t="inlineStr">
        <is>
          <t>Cumulative founder draw, each</t>
        </is>
      </c>
      <c r="C44" s="19">
        <f>C41</f>
        <v>0.0</v>
      </c>
      <c r="D44" s="19">
        <f>C44+D41</f>
        <v>0</v>
      </c>
      <c r="E44" s="19">
        <f>D44+E41</f>
        <v>0</v>
      </c>
      <c r="F44" s="19">
        <f>E44+F41</f>
        <v>0</v>
      </c>
      <c r="G44" s="19">
        <f>F44+G41</f>
        <v>382.6264982923199</v>
      </c>
      <c r="H44" s="19">
        <f>G44+H41</f>
        <v>788.1092016358702</v>
      </c>
      <c r="I44" s="19">
        <f>H44+I41</f>
        <v>1215.8434238791142</v>
      </c>
      <c r="J44" s="19">
        <f>I44+J41</f>
        <v>1665.2426194550608</v>
      </c>
      <c r="K44" s="19">
        <f>J44+K41</f>
        <v>2135.737839163729</v>
      </c>
      <c r="L44" s="19">
        <f>K44+L41</f>
        <v>2626.777202281137</v>
      </c>
      <c r="M44" s="19">
        <f>L44+M41</f>
        <v>3137.825384505023</v>
      </c>
      <c r="N44" s="19">
        <f>M44+N41</f>
        <v>3668.363121262192</v>
      </c>
      <c r="O44" s="19">
        <f>N44+O41</f>
        <v>4442.886725916646</v>
      </c>
      <c r="P44" s="19">
        <f>O44+P41</f>
        <v>5235.907622431467</v>
      </c>
      <c r="Q44" s="19">
        <f>P44+Q41</f>
        <v>6046.951892050843</v>
      </c>
      <c r="R44" s="19">
        <f>Q44+R41</f>
        <v>6875.559833581638</v>
      </c>
      <c r="S44" s="19">
        <f>R44+S41</f>
        <v>7721.285536866509</v>
      </c>
      <c r="T44" s="19">
        <f>S44+T41</f>
        <v>8583.696469052833</v>
      </c>
      <c r="U44" s="19">
        <f>T44+U41</f>
        <v>9462.373073273568</v>
      </c>
      <c r="V44" s="19">
        <f>U44+V41</f>
        <v>10356.90837936768</v>
      </c>
      <c r="W44" s="19">
        <f>V44+W41</f>
        <v>11266.90762627897</v>
      </c>
      <c r="X44" s="19">
        <f>W44+X41</f>
        <v>12191.98789578292</v>
      </c>
      <c r="Y44" s="19">
        <f>X44+Y41</f>
        <v>13131.777757201753</v>
      </c>
      <c r="Z44" s="19">
        <f>Y44+Z41</f>
        <v>14085.91692277802</v>
      </c>
      <c r="AA44" s="19">
        <f>Z44+AA41</f>
        <v>15279.055913387</v>
      </c>
      <c r="AB44" s="19">
        <f>AA44+AB41</f>
        <v>16485.85573427771</v>
      </c>
      <c r="AC44" s="19">
        <f>AB44+AC41</f>
        <v>17705.9875605417</v>
      </c>
      <c r="AD44" s="19">
        <f>AC44+AD41</f>
        <v>18939.13243201777</v>
      </c>
      <c r="AE44" s="19">
        <f>AD44+AE41</f>
        <v>20184.98095734956</v>
      </c>
      <c r="AF44" s="19">
        <f>AE44+AF41</f>
        <v>21443.233026921393</v>
      </c>
      <c r="AG44" s="19">
        <f>AF44+AG41</f>
        <v>22713.59753440607</v>
      </c>
      <c r="AH44" s="19">
        <f>AG44+AH41</f>
        <v>23995.79210666621</v>
      </c>
      <c r="AI44" s="19">
        <f>AH44+AI41</f>
        <v>25289.542841758543</v>
      </c>
      <c r="AJ44" s="19">
        <f>AI44+AJ41</f>
        <v>26594.584054798106</v>
      </c>
      <c r="AK44" s="19">
        <f>AJ44+AK41</f>
        <v>27910.658031446485</v>
      </c>
      <c r="AL44" s="19">
        <f>AK44+AL41</f>
        <v>29237.51478879541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4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2" customWidth="1" min="1" max="1"/>
    <col width="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s>
  <sheetData>
    <row r="1">
      <c r="A1" s="1" t="inlineStr">
        <is>
          <t>Push marketing level, monthly, months 1 to 36 (month 1 = November 2026)</t>
        </is>
      </c>
    </row>
    <row r="2">
      <c r="A2" s="3" t="inlineStr">
        <is>
          <t>Month</t>
        </is>
      </c>
      <c r="C2" s="4" t="n">
        <v>1</v>
      </c>
      <c r="D2" s="4" t="n">
        <v>2</v>
      </c>
      <c r="E2" s="4" t="n">
        <v>3</v>
      </c>
      <c r="F2" s="4" t="n">
        <v>4</v>
      </c>
      <c r="G2" s="4" t="n">
        <v>5</v>
      </c>
      <c r="H2" s="4" t="n">
        <v>6</v>
      </c>
      <c r="I2" s="4" t="n">
        <v>7</v>
      </c>
      <c r="J2" s="4" t="n">
        <v>8</v>
      </c>
      <c r="K2" s="4" t="n">
        <v>9</v>
      </c>
      <c r="L2" s="4" t="n">
        <v>10</v>
      </c>
      <c r="M2" s="4" t="n">
        <v>11</v>
      </c>
      <c r="N2" s="4" t="n">
        <v>12</v>
      </c>
      <c r="O2" s="4" t="n">
        <v>13</v>
      </c>
      <c r="P2" s="4" t="n">
        <v>14</v>
      </c>
      <c r="Q2" s="4" t="n">
        <v>15</v>
      </c>
      <c r="R2" s="4" t="n">
        <v>16</v>
      </c>
      <c r="S2" s="4" t="n">
        <v>17</v>
      </c>
      <c r="T2" s="4" t="n">
        <v>18</v>
      </c>
      <c r="U2" s="4" t="n">
        <v>19</v>
      </c>
      <c r="V2" s="4" t="n">
        <v>20</v>
      </c>
      <c r="W2" s="4" t="n">
        <v>21</v>
      </c>
      <c r="X2" s="4" t="n">
        <v>22</v>
      </c>
      <c r="Y2" s="4" t="n">
        <v>23</v>
      </c>
      <c r="Z2" s="4" t="n">
        <v>24</v>
      </c>
      <c r="AA2" s="4" t="n">
        <v>25</v>
      </c>
      <c r="AB2" s="4" t="n">
        <v>26</v>
      </c>
      <c r="AC2" s="4" t="n">
        <v>27</v>
      </c>
      <c r="AD2" s="4" t="n">
        <v>28</v>
      </c>
      <c r="AE2" s="4" t="n">
        <v>29</v>
      </c>
      <c r="AF2" s="4" t="n">
        <v>30</v>
      </c>
      <c r="AG2" s="4" t="n">
        <v>31</v>
      </c>
      <c r="AH2" s="4" t="n">
        <v>32</v>
      </c>
      <c r="AI2" s="4" t="n">
        <v>33</v>
      </c>
      <c r="AJ2" s="4" t="n">
        <v>34</v>
      </c>
      <c r="AK2" s="4" t="n">
        <v>35</v>
      </c>
      <c r="AL2" s="4" t="n">
        <v>36</v>
      </c>
    </row>
    <row r="3">
      <c r="A3" s="2" t="inlineStr">
        <is>
          <t>Year</t>
        </is>
      </c>
      <c r="C3" s="2" t="n">
        <v>1</v>
      </c>
      <c r="D3" s="2" t="n">
        <v>1</v>
      </c>
      <c r="E3" s="2" t="n">
        <v>1</v>
      </c>
      <c r="F3" s="2" t="n">
        <v>1</v>
      </c>
      <c r="G3" s="2" t="n">
        <v>1</v>
      </c>
      <c r="H3" s="2" t="n">
        <v>1</v>
      </c>
      <c r="I3" s="2" t="n">
        <v>1</v>
      </c>
      <c r="J3" s="2" t="n">
        <v>1</v>
      </c>
      <c r="K3" s="2" t="n">
        <v>1</v>
      </c>
      <c r="L3" s="2" t="n">
        <v>1</v>
      </c>
      <c r="M3" s="2" t="n">
        <v>1</v>
      </c>
      <c r="N3" s="2" t="n">
        <v>1</v>
      </c>
      <c r="O3" s="2" t="n">
        <v>2</v>
      </c>
      <c r="P3" s="2" t="n">
        <v>2</v>
      </c>
      <c r="Q3" s="2" t="n">
        <v>2</v>
      </c>
      <c r="R3" s="2" t="n">
        <v>2</v>
      </c>
      <c r="S3" s="2" t="n">
        <v>2</v>
      </c>
      <c r="T3" s="2" t="n">
        <v>2</v>
      </c>
      <c r="U3" s="2" t="n">
        <v>2</v>
      </c>
      <c r="V3" s="2" t="n">
        <v>2</v>
      </c>
      <c r="W3" s="2" t="n">
        <v>2</v>
      </c>
      <c r="X3" s="2" t="n">
        <v>2</v>
      </c>
      <c r="Y3" s="2" t="n">
        <v>2</v>
      </c>
      <c r="Z3" s="2" t="n">
        <v>2</v>
      </c>
      <c r="AA3" s="2" t="n">
        <v>3</v>
      </c>
      <c r="AB3" s="2" t="n">
        <v>3</v>
      </c>
      <c r="AC3" s="2" t="n">
        <v>3</v>
      </c>
      <c r="AD3" s="2" t="n">
        <v>3</v>
      </c>
      <c r="AE3" s="2" t="n">
        <v>3</v>
      </c>
      <c r="AF3" s="2" t="n">
        <v>3</v>
      </c>
      <c r="AG3" s="2" t="n">
        <v>3</v>
      </c>
      <c r="AH3" s="2" t="n">
        <v>3</v>
      </c>
      <c r="AI3" s="2" t="n">
        <v>3</v>
      </c>
      <c r="AJ3" s="2" t="n">
        <v>3</v>
      </c>
      <c r="AK3" s="2" t="n">
        <v>3</v>
      </c>
      <c r="AL3" s="2" t="n">
        <v>3</v>
      </c>
    </row>
    <row r="5">
      <c r="A5" s="1" t="inlineStr">
        <is>
          <t>MEMBERS</t>
        </is>
      </c>
    </row>
    <row r="6">
      <c r="A6" s="5" t="inlineStr">
        <is>
          <t>Paying individuals, start of month</t>
        </is>
      </c>
      <c r="C6" s="16">
        <f>Inputs!$B$12</f>
        <v>20</v>
      </c>
      <c r="D6" s="16">
        <f>C10</f>
        <v>56.06666666666667</v>
      </c>
      <c r="E6" s="16">
        <f>D10</f>
        <v>91.05133333333333</v>
      </c>
      <c r="F6" s="16">
        <f>E10</f>
        <v>124.98646000000001</v>
      </c>
      <c r="G6" s="16">
        <f>F10</f>
        <v>157.90353286666667</v>
      </c>
      <c r="H6" s="16">
        <f>G10</f>
        <v>189.83309354733333</v>
      </c>
      <c r="I6" s="16">
        <f>H10</f>
        <v>220.80476740758</v>
      </c>
      <c r="J6" s="16">
        <f>I10</f>
        <v>250.84729105201924</v>
      </c>
      <c r="K6" s="16">
        <f>J10</f>
        <v>279.98853898712537</v>
      </c>
      <c r="L6" s="16">
        <f>K10</f>
        <v>308.2555494841783</v>
      </c>
      <c r="M6" s="16">
        <f>L10</f>
        <v>335.67454966631965</v>
      </c>
      <c r="N6" s="16">
        <f>M10</f>
        <v>362.2709798429967</v>
      </c>
      <c r="O6" s="16">
        <f>N10</f>
        <v>388.0695171143735</v>
      </c>
      <c r="P6" s="16">
        <f>O10</f>
        <v>413.094098267609</v>
      </c>
      <c r="Q6" s="16">
        <f>P10</f>
        <v>437.36794198624744</v>
      </c>
      <c r="R6" s="16">
        <f>Q10</f>
        <v>460.9135703933267</v>
      </c>
      <c r="S6" s="16">
        <f>R10</f>
        <v>483.7528299481936</v>
      </c>
      <c r="T6" s="16">
        <f>S10</f>
        <v>505.9069117164144</v>
      </c>
      <c r="U6" s="16">
        <f>T10</f>
        <v>527.3963710315886</v>
      </c>
      <c r="V6" s="16">
        <f>U10</f>
        <v>548.2411465673076</v>
      </c>
      <c r="W6" s="16">
        <f>V10</f>
        <v>568.460578836955</v>
      </c>
      <c r="X6" s="16">
        <f>W10</f>
        <v>588.073428138513</v>
      </c>
      <c r="Y6" s="16">
        <f>X10</f>
        <v>607.0978919610243</v>
      </c>
      <c r="Z6" s="16">
        <f>Y10</f>
        <v>625.5516218688601</v>
      </c>
      <c r="AA6" s="16">
        <f>Z10</f>
        <v>643.451739879461</v>
      </c>
      <c r="AB6" s="16">
        <f>AA10</f>
        <v>660.8148543497438</v>
      </c>
      <c r="AC6" s="16">
        <f>AB10</f>
        <v>677.6570753859181</v>
      </c>
      <c r="AD6" s="16">
        <f>AC10</f>
        <v>693.9940297910072</v>
      </c>
      <c r="AE6" s="16">
        <f>AD10</f>
        <v>709.8408755639435</v>
      </c>
      <c r="AF6" s="16">
        <f>AE10</f>
        <v>725.2123159636918</v>
      </c>
      <c r="AG6" s="16">
        <f>AF10</f>
        <v>740.1226131514477</v>
      </c>
      <c r="AH6" s="16">
        <f>AG10</f>
        <v>754.5856014235709</v>
      </c>
      <c r="AI6" s="16">
        <f>AH10</f>
        <v>768.6147000475304</v>
      </c>
      <c r="AJ6" s="16">
        <f>AI10</f>
        <v>782.2229257127711</v>
      </c>
      <c r="AK6" s="16">
        <f>AJ10</f>
        <v>795.4229046080546</v>
      </c>
      <c r="AL6" s="16">
        <f>AK10</f>
        <v>808.2268841364796</v>
      </c>
    </row>
    <row r="7">
      <c r="A7" s="5" t="inlineStr">
        <is>
          <t>Organic adds</t>
        </is>
      </c>
      <c r="C7" s="7">
        <f>Inputs!$D$36</f>
        <v>10</v>
      </c>
      <c r="D7" s="7">
        <f>Inputs!$D$36</f>
        <v>10</v>
      </c>
      <c r="E7" s="7">
        <f>Inputs!$D$36</f>
        <v>10</v>
      </c>
      <c r="F7" s="7">
        <f>Inputs!$D$36</f>
        <v>10</v>
      </c>
      <c r="G7" s="7">
        <f>Inputs!$D$36</f>
        <v>10</v>
      </c>
      <c r="H7" s="7">
        <f>Inputs!$D$36</f>
        <v>10</v>
      </c>
      <c r="I7" s="7">
        <f>Inputs!$D$36</f>
        <v>10</v>
      </c>
      <c r="J7" s="7">
        <f>Inputs!$D$36</f>
        <v>10</v>
      </c>
      <c r="K7" s="7">
        <f>Inputs!$D$36</f>
        <v>10</v>
      </c>
      <c r="L7" s="7">
        <f>Inputs!$D$36</f>
        <v>10</v>
      </c>
      <c r="M7" s="7">
        <f>Inputs!$D$36</f>
        <v>10</v>
      </c>
      <c r="N7" s="7">
        <f>Inputs!$D$36</f>
        <v>10</v>
      </c>
      <c r="O7" s="7">
        <f>Inputs!$D$36</f>
        <v>10</v>
      </c>
      <c r="P7" s="7">
        <f>Inputs!$D$36</f>
        <v>10</v>
      </c>
      <c r="Q7" s="7">
        <f>Inputs!$D$36</f>
        <v>10</v>
      </c>
      <c r="R7" s="7">
        <f>Inputs!$D$36</f>
        <v>10</v>
      </c>
      <c r="S7" s="7">
        <f>Inputs!$D$36</f>
        <v>10</v>
      </c>
      <c r="T7" s="7">
        <f>Inputs!$D$36</f>
        <v>10</v>
      </c>
      <c r="U7" s="7">
        <f>Inputs!$D$36</f>
        <v>10</v>
      </c>
      <c r="V7" s="7">
        <f>Inputs!$D$36</f>
        <v>10</v>
      </c>
      <c r="W7" s="7">
        <f>Inputs!$D$36</f>
        <v>10</v>
      </c>
      <c r="X7" s="7">
        <f>Inputs!$D$36</f>
        <v>10</v>
      </c>
      <c r="Y7" s="7">
        <f>Inputs!$D$36</f>
        <v>10</v>
      </c>
      <c r="Z7" s="7">
        <f>Inputs!$D$36</f>
        <v>10</v>
      </c>
      <c r="AA7" s="7">
        <f>Inputs!$D$36</f>
        <v>10</v>
      </c>
      <c r="AB7" s="7">
        <f>Inputs!$D$36</f>
        <v>10</v>
      </c>
      <c r="AC7" s="7">
        <f>Inputs!$D$36</f>
        <v>10</v>
      </c>
      <c r="AD7" s="7">
        <f>Inputs!$D$36</f>
        <v>10</v>
      </c>
      <c r="AE7" s="7">
        <f>Inputs!$D$36</f>
        <v>10</v>
      </c>
      <c r="AF7" s="7">
        <f>Inputs!$D$36</f>
        <v>10</v>
      </c>
      <c r="AG7" s="7">
        <f>Inputs!$D$36</f>
        <v>10</v>
      </c>
      <c r="AH7" s="7">
        <f>Inputs!$D$36</f>
        <v>10</v>
      </c>
      <c r="AI7" s="7">
        <f>Inputs!$D$36</f>
        <v>10</v>
      </c>
      <c r="AJ7" s="7">
        <f>Inputs!$D$36</f>
        <v>10</v>
      </c>
      <c r="AK7" s="7">
        <f>Inputs!$D$36</f>
        <v>10</v>
      </c>
      <c r="AL7" s="7">
        <f>Inputs!$D$36</f>
        <v>10</v>
      </c>
    </row>
    <row r="8">
      <c r="A8" s="5" t="inlineStr">
        <is>
          <t>Paid adds (paid $ / cost per convert)</t>
        </is>
      </c>
      <c r="C8" s="7">
        <f>IF(Inputs!$D$38=0,0,Inputs!$D$37/Inputs!$D$38)</f>
        <v>26.666666666666668</v>
      </c>
      <c r="D8" s="7">
        <f>IF(Inputs!$D$38=0,0,Inputs!$D$37/Inputs!$D$38)</f>
        <v>26.666666666666668</v>
      </c>
      <c r="E8" s="7">
        <f>IF(Inputs!$D$38=0,0,Inputs!$D$37/Inputs!$D$38)</f>
        <v>26.666666666666668</v>
      </c>
      <c r="F8" s="7">
        <f>IF(Inputs!$D$38=0,0,Inputs!$D$37/Inputs!$D$38)</f>
        <v>26.666666666666668</v>
      </c>
      <c r="G8" s="7">
        <f>IF(Inputs!$D$38=0,0,Inputs!$D$37/Inputs!$D$38)</f>
        <v>26.666666666666668</v>
      </c>
      <c r="H8" s="7">
        <f>IF(Inputs!$D$38=0,0,Inputs!$D$37/Inputs!$D$38)</f>
        <v>26.666666666666668</v>
      </c>
      <c r="I8" s="7">
        <f>IF(Inputs!$D$38=0,0,Inputs!$D$37/Inputs!$D$38)</f>
        <v>26.666666666666668</v>
      </c>
      <c r="J8" s="7">
        <f>IF(Inputs!$D$38=0,0,Inputs!$D$37/Inputs!$D$38)</f>
        <v>26.666666666666668</v>
      </c>
      <c r="K8" s="7">
        <f>IF(Inputs!$D$38=0,0,Inputs!$D$37/Inputs!$D$38)</f>
        <v>26.666666666666668</v>
      </c>
      <c r="L8" s="7">
        <f>IF(Inputs!$D$38=0,0,Inputs!$D$37/Inputs!$D$38)</f>
        <v>26.666666666666668</v>
      </c>
      <c r="M8" s="7">
        <f>IF(Inputs!$D$38=0,0,Inputs!$D$37/Inputs!$D$38)</f>
        <v>26.666666666666668</v>
      </c>
      <c r="N8" s="7">
        <f>IF(Inputs!$D$38=0,0,Inputs!$D$37/Inputs!$D$38)</f>
        <v>26.666666666666668</v>
      </c>
      <c r="O8" s="7">
        <f>IF(Inputs!$D$38=0,0,Inputs!$D$37/Inputs!$D$38)</f>
        <v>26.666666666666668</v>
      </c>
      <c r="P8" s="7">
        <f>IF(Inputs!$D$38=0,0,Inputs!$D$37/Inputs!$D$38)</f>
        <v>26.666666666666668</v>
      </c>
      <c r="Q8" s="7">
        <f>IF(Inputs!$D$38=0,0,Inputs!$D$37/Inputs!$D$38)</f>
        <v>26.666666666666668</v>
      </c>
      <c r="R8" s="7">
        <f>IF(Inputs!$D$38=0,0,Inputs!$D$37/Inputs!$D$38)</f>
        <v>26.666666666666668</v>
      </c>
      <c r="S8" s="7">
        <f>IF(Inputs!$D$38=0,0,Inputs!$D$37/Inputs!$D$38)</f>
        <v>26.666666666666668</v>
      </c>
      <c r="T8" s="7">
        <f>IF(Inputs!$D$38=0,0,Inputs!$D$37/Inputs!$D$38)</f>
        <v>26.666666666666668</v>
      </c>
      <c r="U8" s="7">
        <f>IF(Inputs!$D$38=0,0,Inputs!$D$37/Inputs!$D$38)</f>
        <v>26.666666666666668</v>
      </c>
      <c r="V8" s="7">
        <f>IF(Inputs!$D$38=0,0,Inputs!$D$37/Inputs!$D$38)</f>
        <v>26.666666666666668</v>
      </c>
      <c r="W8" s="7">
        <f>IF(Inputs!$D$38=0,0,Inputs!$D$37/Inputs!$D$38)</f>
        <v>26.666666666666668</v>
      </c>
      <c r="X8" s="7">
        <f>IF(Inputs!$D$38=0,0,Inputs!$D$37/Inputs!$D$38)</f>
        <v>26.666666666666668</v>
      </c>
      <c r="Y8" s="7">
        <f>IF(Inputs!$D$38=0,0,Inputs!$D$37/Inputs!$D$38)</f>
        <v>26.666666666666668</v>
      </c>
      <c r="Z8" s="7">
        <f>IF(Inputs!$D$38=0,0,Inputs!$D$37/Inputs!$D$38)</f>
        <v>26.666666666666668</v>
      </c>
      <c r="AA8" s="7">
        <f>IF(Inputs!$D$38=0,0,Inputs!$D$37/Inputs!$D$38)</f>
        <v>26.666666666666668</v>
      </c>
      <c r="AB8" s="7">
        <f>IF(Inputs!$D$38=0,0,Inputs!$D$37/Inputs!$D$38)</f>
        <v>26.666666666666668</v>
      </c>
      <c r="AC8" s="7">
        <f>IF(Inputs!$D$38=0,0,Inputs!$D$37/Inputs!$D$38)</f>
        <v>26.666666666666668</v>
      </c>
      <c r="AD8" s="7">
        <f>IF(Inputs!$D$38=0,0,Inputs!$D$37/Inputs!$D$38)</f>
        <v>26.666666666666668</v>
      </c>
      <c r="AE8" s="7">
        <f>IF(Inputs!$D$38=0,0,Inputs!$D$37/Inputs!$D$38)</f>
        <v>26.666666666666668</v>
      </c>
      <c r="AF8" s="7">
        <f>IF(Inputs!$D$38=0,0,Inputs!$D$37/Inputs!$D$38)</f>
        <v>26.666666666666668</v>
      </c>
      <c r="AG8" s="7">
        <f>IF(Inputs!$D$38=0,0,Inputs!$D$37/Inputs!$D$38)</f>
        <v>26.666666666666668</v>
      </c>
      <c r="AH8" s="7">
        <f>IF(Inputs!$D$38=0,0,Inputs!$D$37/Inputs!$D$38)</f>
        <v>26.666666666666668</v>
      </c>
      <c r="AI8" s="7">
        <f>IF(Inputs!$D$38=0,0,Inputs!$D$37/Inputs!$D$38)</f>
        <v>26.666666666666668</v>
      </c>
      <c r="AJ8" s="7">
        <f>IF(Inputs!$D$38=0,0,Inputs!$D$37/Inputs!$D$38)</f>
        <v>26.666666666666668</v>
      </c>
      <c r="AK8" s="7">
        <f>IF(Inputs!$D$38=0,0,Inputs!$D$37/Inputs!$D$38)</f>
        <v>26.666666666666668</v>
      </c>
      <c r="AL8" s="7">
        <f>IF(Inputs!$D$38=0,0,Inputs!$D$37/Inputs!$D$38)</f>
        <v>26.666666666666668</v>
      </c>
    </row>
    <row r="9">
      <c r="A9" s="5" t="inlineStr">
        <is>
          <t>Churned</t>
        </is>
      </c>
      <c r="C9" s="16">
        <f>-C6*Inputs!$B$14</f>
        <v>-0.6</v>
      </c>
      <c r="D9" s="16">
        <f>-D6*Inputs!$B$14</f>
        <v>-1.682</v>
      </c>
      <c r="E9" s="16">
        <f>-E6*Inputs!$B$14</f>
        <v>-2.73154</v>
      </c>
      <c r="F9" s="16">
        <f>-F6*Inputs!$B$14</f>
        <v>-3.7495938</v>
      </c>
      <c r="G9" s="16">
        <f>-G6*Inputs!$B$14</f>
        <v>-4.7371059859999995</v>
      </c>
      <c r="H9" s="16">
        <f>-H6*Inputs!$B$14</f>
        <v>-5.69499280642</v>
      </c>
      <c r="I9" s="16">
        <f>-I6*Inputs!$B$14</f>
        <v>-6.6241430222274</v>
      </c>
      <c r="J9" s="16">
        <f>-J6*Inputs!$B$14</f>
        <v>-7.525418731560577</v>
      </c>
      <c r="K9" s="16">
        <f>-K6*Inputs!$B$14</f>
        <v>-8.399656169613761</v>
      </c>
      <c r="L9" s="16">
        <f>-L6*Inputs!$B$14</f>
        <v>-9.247666484525348</v>
      </c>
      <c r="M9" s="16">
        <f>-M6*Inputs!$B$14</f>
        <v>-10.07023648998959</v>
      </c>
      <c r="N9" s="16">
        <f>-N6*Inputs!$B$14</f>
        <v>-10.868129395289902</v>
      </c>
      <c r="O9" s="16">
        <f>-O6*Inputs!$B$14</f>
        <v>-11.642085513431205</v>
      </c>
      <c r="P9" s="16">
        <f>-P6*Inputs!$B$14</f>
        <v>-12.39282294802827</v>
      </c>
      <c r="Q9" s="16">
        <f>-Q6*Inputs!$B$14</f>
        <v>-13.121038259587422</v>
      </c>
      <c r="R9" s="16">
        <f>-R6*Inputs!$B$14</f>
        <v>-13.8274071117998</v>
      </c>
      <c r="S9" s="16">
        <f>-S6*Inputs!$B$14</f>
        <v>-14.512584898445807</v>
      </c>
      <c r="T9" s="16">
        <f>-T6*Inputs!$B$14</f>
        <v>-15.177207351492433</v>
      </c>
      <c r="U9" s="16">
        <f>-U6*Inputs!$B$14</f>
        <v>-15.821891130947657</v>
      </c>
      <c r="V9" s="16">
        <f>-V6*Inputs!$B$14</f>
        <v>-16.44723439701923</v>
      </c>
      <c r="W9" s="16">
        <f>-W6*Inputs!$B$14</f>
        <v>-17.05381736510865</v>
      </c>
      <c r="X9" s="16">
        <f>-X6*Inputs!$B$14</f>
        <v>-17.64220284415539</v>
      </c>
      <c r="Y9" s="16">
        <f>-Y6*Inputs!$B$14</f>
        <v>-18.21293675883073</v>
      </c>
      <c r="Z9" s="16">
        <f>-Z6*Inputs!$B$14</f>
        <v>-18.766548656065805</v>
      </c>
      <c r="AA9" s="16">
        <f>-AA6*Inputs!$B$14</f>
        <v>-19.30355219638383</v>
      </c>
      <c r="AB9" s="16">
        <f>-AB6*Inputs!$B$14</f>
        <v>-19.824445630492313</v>
      </c>
      <c r="AC9" s="16">
        <f>-AC6*Inputs!$B$14</f>
        <v>-20.329712261577544</v>
      </c>
      <c r="AD9" s="16">
        <f>-AD6*Inputs!$B$14</f>
        <v>-20.819820893730213</v>
      </c>
      <c r="AE9" s="16">
        <f>-AE6*Inputs!$B$14</f>
        <v>-21.295226266918306</v>
      </c>
      <c r="AF9" s="16">
        <f>-AF6*Inputs!$B$14</f>
        <v>-21.756369478910752</v>
      </c>
      <c r="AG9" s="16">
        <f>-AG6*Inputs!$B$14</f>
        <v>-22.20367839454343</v>
      </c>
      <c r="AH9" s="16">
        <f>-AH6*Inputs!$B$14</f>
        <v>-22.637568042707127</v>
      </c>
      <c r="AI9" s="16">
        <f>-AI6*Inputs!$B$14</f>
        <v>-23.058441001425912</v>
      </c>
      <c r="AJ9" s="16">
        <f>-AJ6*Inputs!$B$14</f>
        <v>-23.466687771383132</v>
      </c>
      <c r="AK9" s="16">
        <f>-AK6*Inputs!$B$14</f>
        <v>-23.86268713824164</v>
      </c>
      <c r="AL9" s="16">
        <f>-AL6*Inputs!$B$14</f>
        <v>-24.24680652409439</v>
      </c>
    </row>
    <row r="10">
      <c r="A10" s="3" t="inlineStr">
        <is>
          <t>Paying individuals, end of month</t>
        </is>
      </c>
      <c r="C10" s="17">
        <f>C6+C7+C8+C9</f>
        <v>56.06666666666667</v>
      </c>
      <c r="D10" s="17">
        <f>D6+D7+D8+D9</f>
        <v>91.05133333333333</v>
      </c>
      <c r="E10" s="17">
        <f>E6+E7+E8+E9</f>
        <v>124.98646000000001</v>
      </c>
      <c r="F10" s="17">
        <f>F6+F7+F8+F9</f>
        <v>157.90353286666667</v>
      </c>
      <c r="G10" s="17">
        <f>G6+G7+G8+G9</f>
        <v>189.83309354733333</v>
      </c>
      <c r="H10" s="17">
        <f>H6+H7+H8+H9</f>
        <v>220.80476740758</v>
      </c>
      <c r="I10" s="17">
        <f>I6+I7+I8+I9</f>
        <v>250.84729105201924</v>
      </c>
      <c r="J10" s="17">
        <f>J6+J7+J8+J9</f>
        <v>279.98853898712537</v>
      </c>
      <c r="K10" s="17">
        <f>K6+K7+K8+K9</f>
        <v>308.2555494841783</v>
      </c>
      <c r="L10" s="17">
        <f>L6+L7+L8+L9</f>
        <v>335.67454966631965</v>
      </c>
      <c r="M10" s="17">
        <f>M6+M7+M8+M9</f>
        <v>362.2709798429967</v>
      </c>
      <c r="N10" s="17">
        <f>N6+N7+N8+N9</f>
        <v>388.0695171143735</v>
      </c>
      <c r="O10" s="17">
        <f>O6+O7+O8+O9</f>
        <v>413.094098267609</v>
      </c>
      <c r="P10" s="17">
        <f>P6+P7+P8+P9</f>
        <v>437.36794198624744</v>
      </c>
      <c r="Q10" s="17">
        <f>Q6+Q7+Q8+Q9</f>
        <v>460.9135703933267</v>
      </c>
      <c r="R10" s="17">
        <f>R6+R7+R8+R9</f>
        <v>483.7528299481936</v>
      </c>
      <c r="S10" s="17">
        <f>S6+S7+S8+S9</f>
        <v>505.9069117164144</v>
      </c>
      <c r="T10" s="17">
        <f>T6+T7+T8+T9</f>
        <v>527.3963710315886</v>
      </c>
      <c r="U10" s="17">
        <f>U6+U7+U8+U9</f>
        <v>548.2411465673076</v>
      </c>
      <c r="V10" s="17">
        <f>V6+V7+V8+V9</f>
        <v>568.460578836955</v>
      </c>
      <c r="W10" s="17">
        <f>W6+W7+W8+W9</f>
        <v>588.073428138513</v>
      </c>
      <c r="X10" s="17">
        <f>X6+X7+X8+X9</f>
        <v>607.0978919610243</v>
      </c>
      <c r="Y10" s="17">
        <f>Y6+Y7+Y8+Y9</f>
        <v>625.5516218688601</v>
      </c>
      <c r="Z10" s="17">
        <f>Z6+Z7+Z8+Z9</f>
        <v>643.451739879461</v>
      </c>
      <c r="AA10" s="17">
        <f>AA6+AA7+AA8+AA9</f>
        <v>660.8148543497438</v>
      </c>
      <c r="AB10" s="17">
        <f>AB6+AB7+AB8+AB9</f>
        <v>677.6570753859181</v>
      </c>
      <c r="AC10" s="17">
        <f>AC6+AC7+AC8+AC9</f>
        <v>693.9940297910072</v>
      </c>
      <c r="AD10" s="17">
        <f>AD6+AD7+AD8+AD9</f>
        <v>709.8408755639435</v>
      </c>
      <c r="AE10" s="17">
        <f>AE6+AE7+AE8+AE9</f>
        <v>725.2123159636918</v>
      </c>
      <c r="AF10" s="17">
        <f>AF6+AF7+AF8+AF9</f>
        <v>740.1226131514477</v>
      </c>
      <c r="AG10" s="17">
        <f>AG6+AG7+AG8+AG9</f>
        <v>754.5856014235709</v>
      </c>
      <c r="AH10" s="17">
        <f>AH6+AH7+AH8+AH9</f>
        <v>768.6147000475304</v>
      </c>
      <c r="AI10" s="17">
        <f>AI6+AI7+AI8+AI9</f>
        <v>782.2229257127711</v>
      </c>
      <c r="AJ10" s="17">
        <f>AJ6+AJ7+AJ8+AJ9</f>
        <v>795.4229046080546</v>
      </c>
      <c r="AK10" s="17">
        <f>AK6+AK7+AK8+AK9</f>
        <v>808.2268841364796</v>
      </c>
      <c r="AL10" s="17">
        <f>AL6+AL7+AL8+AL9</f>
        <v>820.6467442790519</v>
      </c>
    </row>
    <row r="11">
      <c r="A11" s="5" t="inlineStr">
        <is>
          <t>Organization packs sold, cumulative</t>
        </is>
      </c>
      <c r="C11" s="8">
        <f>Inputs!$D$44</f>
        <v>1</v>
      </c>
      <c r="D11" s="8">
        <f>C11+Inputs!$D$44</f>
        <v>2</v>
      </c>
      <c r="E11" s="8">
        <f>D11+Inputs!$D$44</f>
        <v>3</v>
      </c>
      <c r="F11" s="8">
        <f>E11+Inputs!$D$44</f>
        <v>4</v>
      </c>
      <c r="G11" s="8">
        <f>F11+Inputs!$D$44</f>
        <v>5</v>
      </c>
      <c r="H11" s="8">
        <f>G11+Inputs!$D$44</f>
        <v>6</v>
      </c>
      <c r="I11" s="8">
        <f>H11+Inputs!$D$44</f>
        <v>7</v>
      </c>
      <c r="J11" s="8">
        <f>I11+Inputs!$D$44</f>
        <v>8</v>
      </c>
      <c r="K11" s="8">
        <f>J11+Inputs!$D$44</f>
        <v>9</v>
      </c>
      <c r="L11" s="8">
        <f>K11+Inputs!$D$44</f>
        <v>10</v>
      </c>
      <c r="M11" s="8">
        <f>L11+Inputs!$D$44</f>
        <v>11</v>
      </c>
      <c r="N11" s="8">
        <f>M11+Inputs!$D$44</f>
        <v>12</v>
      </c>
      <c r="O11" s="8">
        <f>N11+Inputs!$D$44</f>
        <v>13</v>
      </c>
      <c r="P11" s="8">
        <f>O11+Inputs!$D$44</f>
        <v>14</v>
      </c>
      <c r="Q11" s="8">
        <f>P11+Inputs!$D$44</f>
        <v>15</v>
      </c>
      <c r="R11" s="8">
        <f>Q11+Inputs!$D$44</f>
        <v>16</v>
      </c>
      <c r="S11" s="8">
        <f>R11+Inputs!$D$44</f>
        <v>17</v>
      </c>
      <c r="T11" s="8">
        <f>S11+Inputs!$D$44</f>
        <v>18</v>
      </c>
      <c r="U11" s="8">
        <f>T11+Inputs!$D$44</f>
        <v>19</v>
      </c>
      <c r="V11" s="8">
        <f>U11+Inputs!$D$44</f>
        <v>20</v>
      </c>
      <c r="W11" s="8">
        <f>V11+Inputs!$D$44</f>
        <v>21</v>
      </c>
      <c r="X11" s="8">
        <f>W11+Inputs!$D$44</f>
        <v>22</v>
      </c>
      <c r="Y11" s="8">
        <f>X11+Inputs!$D$44</f>
        <v>23</v>
      </c>
      <c r="Z11" s="8">
        <f>Y11+Inputs!$D$44</f>
        <v>24</v>
      </c>
      <c r="AA11" s="8">
        <f>Z11+Inputs!$D$44</f>
        <v>25</v>
      </c>
      <c r="AB11" s="8">
        <f>AA11+Inputs!$D$44</f>
        <v>26</v>
      </c>
      <c r="AC11" s="8">
        <f>AB11+Inputs!$D$44</f>
        <v>27</v>
      </c>
      <c r="AD11" s="8">
        <f>AC11+Inputs!$D$44</f>
        <v>28</v>
      </c>
      <c r="AE11" s="8">
        <f>AD11+Inputs!$D$44</f>
        <v>29</v>
      </c>
      <c r="AF11" s="8">
        <f>AE11+Inputs!$D$44</f>
        <v>30</v>
      </c>
      <c r="AG11" s="8">
        <f>AF11+Inputs!$D$44</f>
        <v>31</v>
      </c>
      <c r="AH11" s="8">
        <f>AG11+Inputs!$D$44</f>
        <v>32</v>
      </c>
      <c r="AI11" s="8">
        <f>AH11+Inputs!$D$44</f>
        <v>33</v>
      </c>
      <c r="AJ11" s="8">
        <f>AI11+Inputs!$D$44</f>
        <v>34</v>
      </c>
      <c r="AK11" s="8">
        <f>AJ11+Inputs!$D$44</f>
        <v>35</v>
      </c>
      <c r="AL11" s="8">
        <f>AK11+Inputs!$D$44</f>
        <v>36</v>
      </c>
    </row>
    <row r="12">
      <c r="A12" s="5" t="inlineStr">
        <is>
          <t>Organization seats active</t>
        </is>
      </c>
      <c r="C12" s="16">
        <f>C11*Inputs!$B$15</f>
        <v>30</v>
      </c>
      <c r="D12" s="16">
        <f>D11*Inputs!$B$15</f>
        <v>60</v>
      </c>
      <c r="E12" s="16">
        <f>E11*Inputs!$B$15</f>
        <v>90</v>
      </c>
      <c r="F12" s="16">
        <f>F11*Inputs!$B$15</f>
        <v>120</v>
      </c>
      <c r="G12" s="16">
        <f>G11*Inputs!$B$15</f>
        <v>150</v>
      </c>
      <c r="H12" s="16">
        <f>H11*Inputs!$B$15</f>
        <v>180</v>
      </c>
      <c r="I12" s="16">
        <f>I11*Inputs!$B$15</f>
        <v>210</v>
      </c>
      <c r="J12" s="16">
        <f>J11*Inputs!$B$15</f>
        <v>240</v>
      </c>
      <c r="K12" s="16">
        <f>K11*Inputs!$B$15</f>
        <v>270</v>
      </c>
      <c r="L12" s="16">
        <f>L11*Inputs!$B$15</f>
        <v>300</v>
      </c>
      <c r="M12" s="16">
        <f>M11*Inputs!$B$15</f>
        <v>330</v>
      </c>
      <c r="N12" s="16">
        <f>N11*Inputs!$B$15</f>
        <v>360</v>
      </c>
      <c r="O12" s="16">
        <f>O11*Inputs!$B$15</f>
        <v>390</v>
      </c>
      <c r="P12" s="16">
        <f>P11*Inputs!$B$15</f>
        <v>420</v>
      </c>
      <c r="Q12" s="16">
        <f>Q11*Inputs!$B$15</f>
        <v>450</v>
      </c>
      <c r="R12" s="16">
        <f>R11*Inputs!$B$15</f>
        <v>480</v>
      </c>
      <c r="S12" s="16">
        <f>S11*Inputs!$B$15</f>
        <v>510</v>
      </c>
      <c r="T12" s="16">
        <f>T11*Inputs!$B$15</f>
        <v>540</v>
      </c>
      <c r="U12" s="16">
        <f>U11*Inputs!$B$15</f>
        <v>570</v>
      </c>
      <c r="V12" s="16">
        <f>V11*Inputs!$B$15</f>
        <v>600</v>
      </c>
      <c r="W12" s="16">
        <f>W11*Inputs!$B$15</f>
        <v>630</v>
      </c>
      <c r="X12" s="16">
        <f>X11*Inputs!$B$15</f>
        <v>660</v>
      </c>
      <c r="Y12" s="16">
        <f>Y11*Inputs!$B$15</f>
        <v>690</v>
      </c>
      <c r="Z12" s="16">
        <f>Z11*Inputs!$B$15</f>
        <v>720</v>
      </c>
      <c r="AA12" s="16">
        <f>AA11*Inputs!$B$15</f>
        <v>750</v>
      </c>
      <c r="AB12" s="16">
        <f>AB11*Inputs!$B$15</f>
        <v>780</v>
      </c>
      <c r="AC12" s="16">
        <f>AC11*Inputs!$B$15</f>
        <v>810</v>
      </c>
      <c r="AD12" s="16">
        <f>AD11*Inputs!$B$15</f>
        <v>840</v>
      </c>
      <c r="AE12" s="16">
        <f>AE11*Inputs!$B$15</f>
        <v>870</v>
      </c>
      <c r="AF12" s="16">
        <f>AF11*Inputs!$B$15</f>
        <v>900</v>
      </c>
      <c r="AG12" s="16">
        <f>AG11*Inputs!$B$15</f>
        <v>930</v>
      </c>
      <c r="AH12" s="16">
        <f>AH11*Inputs!$B$15</f>
        <v>960</v>
      </c>
      <c r="AI12" s="16">
        <f>AI11*Inputs!$B$15</f>
        <v>990</v>
      </c>
      <c r="AJ12" s="16">
        <f>AJ11*Inputs!$B$15</f>
        <v>1020</v>
      </c>
      <c r="AK12" s="16">
        <f>AK11*Inputs!$B$15</f>
        <v>1050</v>
      </c>
      <c r="AL12" s="16">
        <f>AL11*Inputs!$B$15</f>
        <v>1080</v>
      </c>
    </row>
    <row r="13">
      <c r="A13" s="3" t="inlineStr">
        <is>
          <t>Members (individuals + organization seats)</t>
        </is>
      </c>
      <c r="C13" s="17">
        <f>C10+C12</f>
        <v>86.06666666666666</v>
      </c>
      <c r="D13" s="17">
        <f>D10+D12</f>
        <v>151.05133333333333</v>
      </c>
      <c r="E13" s="17">
        <f>E10+E12</f>
        <v>214.98646000000002</v>
      </c>
      <c r="F13" s="17">
        <f>F10+F12</f>
        <v>277.90353286666664</v>
      </c>
      <c r="G13" s="17">
        <f>G10+G12</f>
        <v>339.8330935473333</v>
      </c>
      <c r="H13" s="17">
        <f>H10+H12</f>
        <v>400.80476740758</v>
      </c>
      <c r="I13" s="17">
        <f>I10+I12</f>
        <v>460.8472910520193</v>
      </c>
      <c r="J13" s="17">
        <f>J10+J12</f>
        <v>519.9885389871254</v>
      </c>
      <c r="K13" s="17">
        <f>K10+K12</f>
        <v>578.2555494841783</v>
      </c>
      <c r="L13" s="17">
        <f>L10+L12</f>
        <v>635.6745496663196</v>
      </c>
      <c r="M13" s="17">
        <f>M10+M12</f>
        <v>692.2709798429967</v>
      </c>
      <c r="N13" s="17">
        <f>N10+N12</f>
        <v>748.0695171143735</v>
      </c>
      <c r="O13" s="17">
        <f>O10+O12</f>
        <v>803.0940982676091</v>
      </c>
      <c r="P13" s="17">
        <f>P10+P12</f>
        <v>857.3679419862474</v>
      </c>
      <c r="Q13" s="17">
        <f>Q10+Q12</f>
        <v>910.9135703933267</v>
      </c>
      <c r="R13" s="17">
        <f>R10+R12</f>
        <v>963.7528299481936</v>
      </c>
      <c r="S13" s="17">
        <f>S10+S12</f>
        <v>1015.9069117164145</v>
      </c>
      <c r="T13" s="17">
        <f>T10+T12</f>
        <v>1067.3963710315886</v>
      </c>
      <c r="U13" s="17">
        <f>U10+U12</f>
        <v>1118.2411465673076</v>
      </c>
      <c r="V13" s="17">
        <f>V10+V12</f>
        <v>1168.460578836955</v>
      </c>
      <c r="W13" s="17">
        <f>W10+W12</f>
        <v>1218.073428138513</v>
      </c>
      <c r="X13" s="17">
        <f>X10+X12</f>
        <v>1267.0978919610243</v>
      </c>
      <c r="Y13" s="17">
        <f>Y10+Y12</f>
        <v>1315.5516218688601</v>
      </c>
      <c r="Z13" s="17">
        <f>Z10+Z12</f>
        <v>1363.451739879461</v>
      </c>
      <c r="AA13" s="17">
        <f>AA10+AA12</f>
        <v>1410.8148543497437</v>
      </c>
      <c r="AB13" s="17">
        <f>AB10+AB12</f>
        <v>1457.6570753859182</v>
      </c>
      <c r="AC13" s="17">
        <f>AC10+AC12</f>
        <v>1503.994029791007</v>
      </c>
      <c r="AD13" s="17">
        <f>AD10+AD12</f>
        <v>1549.8408755639434</v>
      </c>
      <c r="AE13" s="17">
        <f>AE10+AE12</f>
        <v>1595.2123159636917</v>
      </c>
      <c r="AF13" s="17">
        <f>AF10+AF12</f>
        <v>1640.1226131514477</v>
      </c>
      <c r="AG13" s="17">
        <f>AG10+AG12</f>
        <v>1684.585601423571</v>
      </c>
      <c r="AH13" s="17">
        <f>AH10+AH12</f>
        <v>1728.6147000475303</v>
      </c>
      <c r="AI13" s="17">
        <f>AI10+AI12</f>
        <v>1772.222925712771</v>
      </c>
      <c r="AJ13" s="17">
        <f>AJ10+AJ12</f>
        <v>1815.4229046080545</v>
      </c>
      <c r="AK13" s="17">
        <f>AK10+AK12</f>
        <v>1858.2268841364796</v>
      </c>
      <c r="AL13" s="17">
        <f>AL10+AL12</f>
        <v>1900.6467442790517</v>
      </c>
    </row>
    <row r="15">
      <c r="A15" s="1" t="inlineStr">
        <is>
          <t>REVENUE</t>
        </is>
      </c>
    </row>
    <row r="16">
      <c r="A16" s="5" t="inlineStr">
        <is>
          <t>Individual seats</t>
        </is>
      </c>
      <c r="C16" s="18">
        <f>C10*Inputs!$B$13</f>
        <v>560.6666666666667</v>
      </c>
      <c r="D16" s="18">
        <f>D10*Inputs!$B$13</f>
        <v>910.5133333333333</v>
      </c>
      <c r="E16" s="18">
        <f>E10*Inputs!$B$13</f>
        <v>1249.8646</v>
      </c>
      <c r="F16" s="18">
        <f>F10*Inputs!$B$13</f>
        <v>1579.0353286666666</v>
      </c>
      <c r="G16" s="18">
        <f>G10*Inputs!$B$13</f>
        <v>1898.3309354733333</v>
      </c>
      <c r="H16" s="18">
        <f>H10*Inputs!$B$13</f>
        <v>2208.0476740758</v>
      </c>
      <c r="I16" s="18">
        <f>I10*Inputs!$B$13</f>
        <v>2508.4729105201923</v>
      </c>
      <c r="J16" s="18">
        <f>J10*Inputs!$B$13</f>
        <v>2799.8853898712537</v>
      </c>
      <c r="K16" s="18">
        <f>K10*Inputs!$B$13</f>
        <v>3082.555494841783</v>
      </c>
      <c r="L16" s="18">
        <f>L10*Inputs!$B$13</f>
        <v>3356.7454966631967</v>
      </c>
      <c r="M16" s="18">
        <f>M10*Inputs!$B$13</f>
        <v>3622.709798429967</v>
      </c>
      <c r="N16" s="18">
        <f>N10*Inputs!$B$13</f>
        <v>3880.695171143735</v>
      </c>
      <c r="O16" s="18">
        <f>O10*Inputs!$B$13</f>
        <v>4130.94098267609</v>
      </c>
      <c r="P16" s="18">
        <f>P10*Inputs!$B$13</f>
        <v>4373.679419862475</v>
      </c>
      <c r="Q16" s="18">
        <f>Q10*Inputs!$B$13</f>
        <v>4609.135703933267</v>
      </c>
      <c r="R16" s="18">
        <f>R10*Inputs!$B$13</f>
        <v>4837.528299481936</v>
      </c>
      <c r="S16" s="18">
        <f>S10*Inputs!$B$13</f>
        <v>5059.069117164144</v>
      </c>
      <c r="T16" s="18">
        <f>T10*Inputs!$B$13</f>
        <v>5273.963710315886</v>
      </c>
      <c r="U16" s="18">
        <f>U10*Inputs!$B$13</f>
        <v>5482.411465673076</v>
      </c>
      <c r="V16" s="18">
        <f>V10*Inputs!$B$13</f>
        <v>5684.60578836955</v>
      </c>
      <c r="W16" s="18">
        <f>W10*Inputs!$B$13</f>
        <v>5880.73428138513</v>
      </c>
      <c r="X16" s="18">
        <f>X10*Inputs!$B$13</f>
        <v>6070.978919610243</v>
      </c>
      <c r="Y16" s="18">
        <f>Y10*Inputs!$B$13</f>
        <v>6255.516218688601</v>
      </c>
      <c r="Z16" s="18">
        <f>Z10*Inputs!$B$13</f>
        <v>6434.51739879461</v>
      </c>
      <c r="AA16" s="18">
        <f>AA10*Inputs!$B$13</f>
        <v>6608.1485434974375</v>
      </c>
      <c r="AB16" s="18">
        <f>AB10*Inputs!$B$13</f>
        <v>6776.570753859181</v>
      </c>
      <c r="AC16" s="18">
        <f>AC10*Inputs!$B$13</f>
        <v>6939.940297910071</v>
      </c>
      <c r="AD16" s="18">
        <f>AD10*Inputs!$B$13</f>
        <v>7098.408755639435</v>
      </c>
      <c r="AE16" s="18">
        <f>AE10*Inputs!$B$13</f>
        <v>7252.123159636918</v>
      </c>
      <c r="AF16" s="18">
        <f>AF10*Inputs!$B$13</f>
        <v>7401.226131514477</v>
      </c>
      <c r="AG16" s="18">
        <f>AG10*Inputs!$B$13</f>
        <v>7545.856014235709</v>
      </c>
      <c r="AH16" s="18">
        <f>AH10*Inputs!$B$13</f>
        <v>7686.147000475304</v>
      </c>
      <c r="AI16" s="18">
        <f>AI10*Inputs!$B$13</f>
        <v>7822.229257127711</v>
      </c>
      <c r="AJ16" s="18">
        <f>AJ10*Inputs!$B$13</f>
        <v>7954.229046080546</v>
      </c>
      <c r="AK16" s="18">
        <f>AK10*Inputs!$B$13</f>
        <v>8082.268841364796</v>
      </c>
      <c r="AL16" s="18">
        <f>AL10*Inputs!$B$13</f>
        <v>8206.46744279052</v>
      </c>
    </row>
    <row r="17">
      <c r="A17" s="5" t="inlineStr">
        <is>
          <t>Organization packs (cash at sale, renewals every 12 months)</t>
        </is>
      </c>
      <c r="C17" s="18">
        <f>Inputs!$D$44*Inputs!$B$15*Inputs!$B$16*1</f>
        <v>3000</v>
      </c>
      <c r="D17" s="18">
        <f>Inputs!$D$44*Inputs!$B$15*Inputs!$B$16*1</f>
        <v>3000</v>
      </c>
      <c r="E17" s="18">
        <f>Inputs!$D$44*Inputs!$B$15*Inputs!$B$16*1</f>
        <v>3000</v>
      </c>
      <c r="F17" s="18">
        <f>Inputs!$D$44*Inputs!$B$15*Inputs!$B$16*1</f>
        <v>3000</v>
      </c>
      <c r="G17" s="18">
        <f>Inputs!$D$44*Inputs!$B$15*Inputs!$B$16*1</f>
        <v>3000</v>
      </c>
      <c r="H17" s="18">
        <f>Inputs!$D$44*Inputs!$B$15*Inputs!$B$16*1</f>
        <v>3000</v>
      </c>
      <c r="I17" s="18">
        <f>Inputs!$D$44*Inputs!$B$15*Inputs!$B$16*1</f>
        <v>3000</v>
      </c>
      <c r="J17" s="18">
        <f>Inputs!$D$44*Inputs!$B$15*Inputs!$B$16*1</f>
        <v>3000</v>
      </c>
      <c r="K17" s="18">
        <f>Inputs!$D$44*Inputs!$B$15*Inputs!$B$16*1</f>
        <v>3000</v>
      </c>
      <c r="L17" s="18">
        <f>Inputs!$D$44*Inputs!$B$15*Inputs!$B$16*1</f>
        <v>3000</v>
      </c>
      <c r="M17" s="18">
        <f>Inputs!$D$44*Inputs!$B$15*Inputs!$B$16*1</f>
        <v>3000</v>
      </c>
      <c r="N17" s="18">
        <f>Inputs!$D$44*Inputs!$B$15*Inputs!$B$16*1</f>
        <v>3000</v>
      </c>
      <c r="O17" s="18">
        <f>Inputs!$D$44*Inputs!$B$15*Inputs!$B$16*2</f>
        <v>6000</v>
      </c>
      <c r="P17" s="18">
        <f>Inputs!$D$44*Inputs!$B$15*Inputs!$B$16*2</f>
        <v>6000</v>
      </c>
      <c r="Q17" s="18">
        <f>Inputs!$D$44*Inputs!$B$15*Inputs!$B$16*2</f>
        <v>6000</v>
      </c>
      <c r="R17" s="18">
        <f>Inputs!$D$44*Inputs!$B$15*Inputs!$B$16*2</f>
        <v>6000</v>
      </c>
      <c r="S17" s="18">
        <f>Inputs!$D$44*Inputs!$B$15*Inputs!$B$16*2</f>
        <v>6000</v>
      </c>
      <c r="T17" s="18">
        <f>Inputs!$D$44*Inputs!$B$15*Inputs!$B$16*2</f>
        <v>6000</v>
      </c>
      <c r="U17" s="18">
        <f>Inputs!$D$44*Inputs!$B$15*Inputs!$B$16*2</f>
        <v>6000</v>
      </c>
      <c r="V17" s="18">
        <f>Inputs!$D$44*Inputs!$B$15*Inputs!$B$16*2</f>
        <v>6000</v>
      </c>
      <c r="W17" s="18">
        <f>Inputs!$D$44*Inputs!$B$15*Inputs!$B$16*2</f>
        <v>6000</v>
      </c>
      <c r="X17" s="18">
        <f>Inputs!$D$44*Inputs!$B$15*Inputs!$B$16*2</f>
        <v>6000</v>
      </c>
      <c r="Y17" s="18">
        <f>Inputs!$D$44*Inputs!$B$15*Inputs!$B$16*2</f>
        <v>6000</v>
      </c>
      <c r="Z17" s="18">
        <f>Inputs!$D$44*Inputs!$B$15*Inputs!$B$16*2</f>
        <v>6000</v>
      </c>
      <c r="AA17" s="18">
        <f>Inputs!$D$44*Inputs!$B$15*Inputs!$B$16*3</f>
        <v>9000</v>
      </c>
      <c r="AB17" s="18">
        <f>Inputs!$D$44*Inputs!$B$15*Inputs!$B$16*3</f>
        <v>9000</v>
      </c>
      <c r="AC17" s="18">
        <f>Inputs!$D$44*Inputs!$B$15*Inputs!$B$16*3</f>
        <v>9000</v>
      </c>
      <c r="AD17" s="18">
        <f>Inputs!$D$44*Inputs!$B$15*Inputs!$B$16*3</f>
        <v>9000</v>
      </c>
      <c r="AE17" s="18">
        <f>Inputs!$D$44*Inputs!$B$15*Inputs!$B$16*3</f>
        <v>9000</v>
      </c>
      <c r="AF17" s="18">
        <f>Inputs!$D$44*Inputs!$B$15*Inputs!$B$16*3</f>
        <v>9000</v>
      </c>
      <c r="AG17" s="18">
        <f>Inputs!$D$44*Inputs!$B$15*Inputs!$B$16*3</f>
        <v>9000</v>
      </c>
      <c r="AH17" s="18">
        <f>Inputs!$D$44*Inputs!$B$15*Inputs!$B$16*3</f>
        <v>9000</v>
      </c>
      <c r="AI17" s="18">
        <f>Inputs!$D$44*Inputs!$B$15*Inputs!$B$16*3</f>
        <v>9000</v>
      </c>
      <c r="AJ17" s="18">
        <f>Inputs!$D$44*Inputs!$B$15*Inputs!$B$16*3</f>
        <v>9000</v>
      </c>
      <c r="AK17" s="18">
        <f>Inputs!$D$44*Inputs!$B$15*Inputs!$B$16*3</f>
        <v>9000</v>
      </c>
      <c r="AL17" s="18">
        <f>Inputs!$D$44*Inputs!$B$15*Inputs!$B$16*3</f>
        <v>9000</v>
      </c>
    </row>
    <row r="18">
      <c r="A18" s="5" t="inlineStr">
        <is>
          <t>Money moved (memo)</t>
        </is>
      </c>
      <c r="C18" s="19">
        <f>C13*Inputs!$B$17</f>
        <v>1032.8</v>
      </c>
      <c r="D18" s="19">
        <f>D13*Inputs!$B$17</f>
        <v>1812.616</v>
      </c>
      <c r="E18" s="19">
        <f>E13*Inputs!$B$17</f>
        <v>2579.83752</v>
      </c>
      <c r="F18" s="19">
        <f>F13*Inputs!$B$17</f>
        <v>3334.8423943999996</v>
      </c>
      <c r="G18" s="19">
        <f>G13*Inputs!$B$17</f>
        <v>4077.9971225679997</v>
      </c>
      <c r="H18" s="19">
        <f>H13*Inputs!$B$17</f>
        <v>4809.65720889096</v>
      </c>
      <c r="I18" s="19">
        <f>I13*Inputs!$B$17</f>
        <v>5530.167492624231</v>
      </c>
      <c r="J18" s="19">
        <f>J13*Inputs!$B$17</f>
        <v>6239.862467845504</v>
      </c>
      <c r="K18" s="19">
        <f>K13*Inputs!$B$17</f>
        <v>6939.06659381014</v>
      </c>
      <c r="L18" s="19">
        <f>L13*Inputs!$B$17</f>
        <v>7628.094595995835</v>
      </c>
      <c r="M18" s="19">
        <f>M13*Inputs!$B$17</f>
        <v>8307.25175811596</v>
      </c>
      <c r="N18" s="19">
        <f>N13*Inputs!$B$17</f>
        <v>8976.834205372483</v>
      </c>
      <c r="O18" s="19">
        <f>O13*Inputs!$B$17</f>
        <v>9637.129179211308</v>
      </c>
      <c r="P18" s="19">
        <f>P13*Inputs!$B$17</f>
        <v>10288.415303834969</v>
      </c>
      <c r="Q18" s="19">
        <f>Q13*Inputs!$B$17</f>
        <v>10930.962844719921</v>
      </c>
      <c r="R18" s="19">
        <f>R13*Inputs!$B$17</f>
        <v>11565.033959378323</v>
      </c>
      <c r="S18" s="19">
        <f>S13*Inputs!$B$17</f>
        <v>12190.882940596974</v>
      </c>
      <c r="T18" s="19">
        <f>T13*Inputs!$B$17</f>
        <v>12808.756452379064</v>
      </c>
      <c r="U18" s="19">
        <f>U13*Inputs!$B$17</f>
        <v>13418.893758807691</v>
      </c>
      <c r="V18" s="19">
        <f>V13*Inputs!$B$17</f>
        <v>14021.52694604346</v>
      </c>
      <c r="W18" s="19">
        <f>W13*Inputs!$B$17</f>
        <v>14616.881137662156</v>
      </c>
      <c r="X18" s="19">
        <f>X13*Inputs!$B$17</f>
        <v>15205.174703532291</v>
      </c>
      <c r="Y18" s="19">
        <f>Y13*Inputs!$B$17</f>
        <v>15786.619462426323</v>
      </c>
      <c r="Z18" s="19">
        <f>Z13*Inputs!$B$17</f>
        <v>16361.420878553532</v>
      </c>
      <c r="AA18" s="19">
        <f>AA13*Inputs!$B$17</f>
        <v>16929.778252196924</v>
      </c>
      <c r="AB18" s="19">
        <f>AB13*Inputs!$B$17</f>
        <v>17491.88490463102</v>
      </c>
      <c r="AC18" s="19">
        <f>AC13*Inputs!$B$17</f>
        <v>18047.928357492085</v>
      </c>
      <c r="AD18" s="19">
        <f>AD13*Inputs!$B$17</f>
        <v>18598.090506767323</v>
      </c>
      <c r="AE18" s="19">
        <f>AE13*Inputs!$B$17</f>
        <v>19142.5477915643</v>
      </c>
      <c r="AF18" s="19">
        <f>AF13*Inputs!$B$17</f>
        <v>19681.471357817372</v>
      </c>
      <c r="AG18" s="19">
        <f>AG13*Inputs!$B$17</f>
        <v>20215.027217082854</v>
      </c>
      <c r="AH18" s="19">
        <f>AH13*Inputs!$B$17</f>
        <v>20743.376400570363</v>
      </c>
      <c r="AI18" s="19">
        <f>AI13*Inputs!$B$17</f>
        <v>21266.675108553252</v>
      </c>
      <c r="AJ18" s="19">
        <f>AJ13*Inputs!$B$17</f>
        <v>21785.074855296654</v>
      </c>
      <c r="AK18" s="19">
        <f>AK13*Inputs!$B$17</f>
        <v>22298.722609637756</v>
      </c>
      <c r="AL18" s="19">
        <f>AL13*Inputs!$B$17</f>
        <v>22807.76093134862</v>
      </c>
    </row>
    <row r="19">
      <c r="A19" s="5" t="inlineStr">
        <is>
          <t>Platform share of money moved</t>
        </is>
      </c>
      <c r="C19" s="18">
        <f>C18*Inputs!$B$18</f>
        <v>103.28</v>
      </c>
      <c r="D19" s="18">
        <f>D18*Inputs!$B$18</f>
        <v>181.26160000000002</v>
      </c>
      <c r="E19" s="18">
        <f>E18*Inputs!$B$18</f>
        <v>257.98375200000004</v>
      </c>
      <c r="F19" s="18">
        <f>F18*Inputs!$B$18</f>
        <v>333.48423944</v>
      </c>
      <c r="G19" s="18">
        <f>G18*Inputs!$B$18</f>
        <v>407.7997122568</v>
      </c>
      <c r="H19" s="18">
        <f>H18*Inputs!$B$18</f>
        <v>480.965720889096</v>
      </c>
      <c r="I19" s="18">
        <f>I18*Inputs!$B$18</f>
        <v>553.0167492624231</v>
      </c>
      <c r="J19" s="18">
        <f>J18*Inputs!$B$18</f>
        <v>623.9862467845505</v>
      </c>
      <c r="K19" s="18">
        <f>K18*Inputs!$B$18</f>
        <v>693.906659381014</v>
      </c>
      <c r="L19" s="18">
        <f>L18*Inputs!$B$18</f>
        <v>762.8094595995835</v>
      </c>
      <c r="M19" s="18">
        <f>M18*Inputs!$B$18</f>
        <v>830.7251758115959</v>
      </c>
      <c r="N19" s="18">
        <f>N18*Inputs!$B$18</f>
        <v>897.6834205372484</v>
      </c>
      <c r="O19" s="18">
        <f>O18*Inputs!$B$18</f>
        <v>963.7129179211308</v>
      </c>
      <c r="P19" s="18">
        <f>P18*Inputs!$B$18</f>
        <v>1028.841530383497</v>
      </c>
      <c r="Q19" s="18">
        <f>Q18*Inputs!$B$18</f>
        <v>1093.0962844719922</v>
      </c>
      <c r="R19" s="18">
        <f>R18*Inputs!$B$18</f>
        <v>1156.5033959378322</v>
      </c>
      <c r="S19" s="18">
        <f>S18*Inputs!$B$18</f>
        <v>1219.0882940596973</v>
      </c>
      <c r="T19" s="18">
        <f>T18*Inputs!$B$18</f>
        <v>1280.8756452379066</v>
      </c>
      <c r="U19" s="18">
        <f>U18*Inputs!$B$18</f>
        <v>1341.8893758807692</v>
      </c>
      <c r="V19" s="18">
        <f>V18*Inputs!$B$18</f>
        <v>1402.152694604346</v>
      </c>
      <c r="W19" s="18">
        <f>W18*Inputs!$B$18</f>
        <v>1461.6881137662158</v>
      </c>
      <c r="X19" s="18">
        <f>X18*Inputs!$B$18</f>
        <v>1520.5174703532293</v>
      </c>
      <c r="Y19" s="18">
        <f>Y18*Inputs!$B$18</f>
        <v>1578.6619462426324</v>
      </c>
      <c r="Z19" s="18">
        <f>Z18*Inputs!$B$18</f>
        <v>1636.1420878553533</v>
      </c>
      <c r="AA19" s="18">
        <f>AA18*Inputs!$B$18</f>
        <v>1692.9778252196925</v>
      </c>
      <c r="AB19" s="18">
        <f>AB18*Inputs!$B$18</f>
        <v>1749.1884904631022</v>
      </c>
      <c r="AC19" s="18">
        <f>AC18*Inputs!$B$18</f>
        <v>1804.7928357492085</v>
      </c>
      <c r="AD19" s="18">
        <f>AD18*Inputs!$B$18</f>
        <v>1859.8090506767323</v>
      </c>
      <c r="AE19" s="18">
        <f>AE18*Inputs!$B$18</f>
        <v>1914.25477915643</v>
      </c>
      <c r="AF19" s="18">
        <f>AF18*Inputs!$B$18</f>
        <v>1968.1471357817372</v>
      </c>
      <c r="AG19" s="18">
        <f>AG18*Inputs!$B$18</f>
        <v>2021.5027217082854</v>
      </c>
      <c r="AH19" s="18">
        <f>AH18*Inputs!$B$18</f>
        <v>2074.3376400570364</v>
      </c>
      <c r="AI19" s="18">
        <f>AI18*Inputs!$B$18</f>
        <v>2126.6675108553254</v>
      </c>
      <c r="AJ19" s="18">
        <f>AJ18*Inputs!$B$18</f>
        <v>2178.5074855296657</v>
      </c>
      <c r="AK19" s="18">
        <f>AK18*Inputs!$B$18</f>
        <v>2229.8722609637757</v>
      </c>
      <c r="AL19" s="18">
        <f>AL18*Inputs!$B$18</f>
        <v>2280.776093134862</v>
      </c>
    </row>
    <row r="20">
      <c r="A20" s="5" t="inlineStr">
        <is>
          <t>Program administration fee</t>
        </is>
      </c>
      <c r="C20" s="18">
        <f>Inputs!$B$19*Inputs!$B$20</f>
        <v>0.0</v>
      </c>
      <c r="D20" s="18">
        <f>Inputs!$B$19*Inputs!$B$20</f>
        <v>0.0</v>
      </c>
      <c r="E20" s="18">
        <f>Inputs!$B$19*Inputs!$B$20</f>
        <v>0.0</v>
      </c>
      <c r="F20" s="18">
        <f>Inputs!$B$19*Inputs!$B$20</f>
        <v>0.0</v>
      </c>
      <c r="G20" s="18">
        <f>Inputs!$B$19*Inputs!$B$20</f>
        <v>0.0</v>
      </c>
      <c r="H20" s="18">
        <f>Inputs!$B$19*Inputs!$B$20</f>
        <v>0.0</v>
      </c>
      <c r="I20" s="18">
        <f>Inputs!$B$19*Inputs!$B$20</f>
        <v>0.0</v>
      </c>
      <c r="J20" s="18">
        <f>Inputs!$B$19*Inputs!$B$20</f>
        <v>0.0</v>
      </c>
      <c r="K20" s="18">
        <f>Inputs!$B$19*Inputs!$B$20</f>
        <v>0.0</v>
      </c>
      <c r="L20" s="18">
        <f>Inputs!$B$19*Inputs!$B$20</f>
        <v>0.0</v>
      </c>
      <c r="M20" s="18">
        <f>Inputs!$B$19*Inputs!$B$20</f>
        <v>0.0</v>
      </c>
      <c r="N20" s="18">
        <f>Inputs!$B$19*Inputs!$B$20</f>
        <v>0.0</v>
      </c>
      <c r="O20" s="18">
        <f>Inputs!$B$19*Inputs!$B$20</f>
        <v>0.0</v>
      </c>
      <c r="P20" s="18">
        <f>Inputs!$B$19*Inputs!$B$20</f>
        <v>0.0</v>
      </c>
      <c r="Q20" s="18">
        <f>Inputs!$B$19*Inputs!$B$20</f>
        <v>0.0</v>
      </c>
      <c r="R20" s="18">
        <f>Inputs!$B$19*Inputs!$B$20</f>
        <v>0.0</v>
      </c>
      <c r="S20" s="18">
        <f>Inputs!$B$19*Inputs!$B$20</f>
        <v>0.0</v>
      </c>
      <c r="T20" s="18">
        <f>Inputs!$B$19*Inputs!$B$20</f>
        <v>0.0</v>
      </c>
      <c r="U20" s="18">
        <f>Inputs!$B$19*Inputs!$B$20</f>
        <v>0.0</v>
      </c>
      <c r="V20" s="18">
        <f>Inputs!$B$19*Inputs!$B$20</f>
        <v>0.0</v>
      </c>
      <c r="W20" s="18">
        <f>Inputs!$B$19*Inputs!$B$20</f>
        <v>0.0</v>
      </c>
      <c r="X20" s="18">
        <f>Inputs!$B$19*Inputs!$B$20</f>
        <v>0.0</v>
      </c>
      <c r="Y20" s="18">
        <f>Inputs!$B$19*Inputs!$B$20</f>
        <v>0.0</v>
      </c>
      <c r="Z20" s="18">
        <f>Inputs!$B$19*Inputs!$B$20</f>
        <v>0.0</v>
      </c>
      <c r="AA20" s="18">
        <f>Inputs!$B$19*Inputs!$B$20</f>
        <v>0.0</v>
      </c>
      <c r="AB20" s="18">
        <f>Inputs!$B$19*Inputs!$B$20</f>
        <v>0.0</v>
      </c>
      <c r="AC20" s="18">
        <f>Inputs!$B$19*Inputs!$B$20</f>
        <v>0.0</v>
      </c>
      <c r="AD20" s="18">
        <f>Inputs!$B$19*Inputs!$B$20</f>
        <v>0.0</v>
      </c>
      <c r="AE20" s="18">
        <f>Inputs!$B$19*Inputs!$B$20</f>
        <v>0.0</v>
      </c>
      <c r="AF20" s="18">
        <f>Inputs!$B$19*Inputs!$B$20</f>
        <v>0.0</v>
      </c>
      <c r="AG20" s="18">
        <f>Inputs!$B$19*Inputs!$B$20</f>
        <v>0.0</v>
      </c>
      <c r="AH20" s="18">
        <f>Inputs!$B$19*Inputs!$B$20</f>
        <v>0.0</v>
      </c>
      <c r="AI20" s="18">
        <f>Inputs!$B$19*Inputs!$B$20</f>
        <v>0.0</v>
      </c>
      <c r="AJ20" s="18">
        <f>Inputs!$B$19*Inputs!$B$20</f>
        <v>0.0</v>
      </c>
      <c r="AK20" s="18">
        <f>Inputs!$B$19*Inputs!$B$20</f>
        <v>0.0</v>
      </c>
      <c r="AL20" s="18">
        <f>Inputs!$B$19*Inputs!$B$20</f>
        <v>0.0</v>
      </c>
    </row>
    <row r="21">
      <c r="A21" s="5" t="inlineStr">
        <is>
          <t>Sponsorships</t>
        </is>
      </c>
      <c r="C21" s="18">
        <f>Inputs!$B$21</f>
        <v>2000</v>
      </c>
      <c r="D21" s="18">
        <f>0</f>
        <v>0</v>
      </c>
      <c r="E21" s="18">
        <f>0</f>
        <v>0</v>
      </c>
      <c r="F21" s="18">
        <f>0</f>
        <v>0</v>
      </c>
      <c r="G21" s="18">
        <f>0</f>
        <v>0</v>
      </c>
      <c r="H21" s="18">
        <f>0</f>
        <v>0</v>
      </c>
      <c r="I21" s="18">
        <f>Inputs!$B$22/12</f>
        <v>0.0</v>
      </c>
      <c r="J21" s="18">
        <f>Inputs!$B$22/12</f>
        <v>0.0</v>
      </c>
      <c r="K21" s="18">
        <f>Inputs!$B$22/12</f>
        <v>0.0</v>
      </c>
      <c r="L21" s="18">
        <f>Inputs!$B$22/12</f>
        <v>0.0</v>
      </c>
      <c r="M21" s="18">
        <f>Inputs!$B$22/12</f>
        <v>0.0</v>
      </c>
      <c r="N21" s="18">
        <f>Inputs!$B$22/12</f>
        <v>0.0</v>
      </c>
      <c r="O21" s="18">
        <f>Inputs!$B$22/12</f>
        <v>0.0</v>
      </c>
      <c r="P21" s="18">
        <f>Inputs!$B$22/12</f>
        <v>0.0</v>
      </c>
      <c r="Q21" s="18">
        <f>Inputs!$B$22/12</f>
        <v>0.0</v>
      </c>
      <c r="R21" s="18">
        <f>Inputs!$B$22/12</f>
        <v>0.0</v>
      </c>
      <c r="S21" s="18">
        <f>Inputs!$B$22/12</f>
        <v>0.0</v>
      </c>
      <c r="T21" s="18">
        <f>Inputs!$B$22/12</f>
        <v>0.0</v>
      </c>
      <c r="U21" s="18">
        <f>Inputs!$B$22/12</f>
        <v>0.0</v>
      </c>
      <c r="V21" s="18">
        <f>Inputs!$B$22/12</f>
        <v>0.0</v>
      </c>
      <c r="W21" s="18">
        <f>Inputs!$B$22/12</f>
        <v>0.0</v>
      </c>
      <c r="X21" s="18">
        <f>Inputs!$B$22/12</f>
        <v>0.0</v>
      </c>
      <c r="Y21" s="18">
        <f>Inputs!$B$22/12</f>
        <v>0.0</v>
      </c>
      <c r="Z21" s="18">
        <f>Inputs!$B$22/12</f>
        <v>0.0</v>
      </c>
      <c r="AA21" s="18">
        <f>Inputs!$B$22/12</f>
        <v>0.0</v>
      </c>
      <c r="AB21" s="18">
        <f>Inputs!$B$22/12</f>
        <v>0.0</v>
      </c>
      <c r="AC21" s="18">
        <f>Inputs!$B$22/12</f>
        <v>0.0</v>
      </c>
      <c r="AD21" s="18">
        <f>Inputs!$B$22/12</f>
        <v>0.0</v>
      </c>
      <c r="AE21" s="18">
        <f>Inputs!$B$22/12</f>
        <v>0.0</v>
      </c>
      <c r="AF21" s="18">
        <f>Inputs!$B$22/12</f>
        <v>0.0</v>
      </c>
      <c r="AG21" s="18">
        <f>Inputs!$B$22/12</f>
        <v>0.0</v>
      </c>
      <c r="AH21" s="18">
        <f>Inputs!$B$22/12</f>
        <v>0.0</v>
      </c>
      <c r="AI21" s="18">
        <f>Inputs!$B$22/12</f>
        <v>0.0</v>
      </c>
      <c r="AJ21" s="18">
        <f>Inputs!$B$22/12</f>
        <v>0.0</v>
      </c>
      <c r="AK21" s="18">
        <f>Inputs!$B$22/12</f>
        <v>0.0</v>
      </c>
      <c r="AL21" s="18">
        <f>Inputs!$B$22/12</f>
        <v>0.0</v>
      </c>
    </row>
    <row r="22">
      <c r="A22" s="5" t="inlineStr">
        <is>
          <t>Recurring revenue (memo: seats + share of money moved + program fee)</t>
        </is>
      </c>
      <c r="C22" s="19">
        <f>C16+C19+C20</f>
        <v>663.9466666666667</v>
      </c>
      <c r="D22" s="19">
        <f>D16+D19+D20</f>
        <v>1091.7749333333334</v>
      </c>
      <c r="E22" s="19">
        <f>E16+E19+E20</f>
        <v>1507.8483520000002</v>
      </c>
      <c r="F22" s="19">
        <f>F16+F19+F20</f>
        <v>1912.5195681066666</v>
      </c>
      <c r="G22" s="19">
        <f>G16+G19+G20</f>
        <v>2306.130647730133</v>
      </c>
      <c r="H22" s="19">
        <f>H16+H19+H20</f>
        <v>2689.013394964896</v>
      </c>
      <c r="I22" s="19">
        <f>I16+I19+I20</f>
        <v>3061.4896597826155</v>
      </c>
      <c r="J22" s="19">
        <f>J16+J19+J20</f>
        <v>3423.871636655804</v>
      </c>
      <c r="K22" s="19">
        <f>K16+K19+K20</f>
        <v>3776.462154222797</v>
      </c>
      <c r="L22" s="19">
        <f>L16+L19+L20</f>
        <v>4119.55495626278</v>
      </c>
      <c r="M22" s="19">
        <f>M16+M19+M20</f>
        <v>4453.434974241563</v>
      </c>
      <c r="N22" s="19">
        <f>N16+N19+N20</f>
        <v>4778.378591680983</v>
      </c>
      <c r="O22" s="19">
        <f>O16+O19+O20</f>
        <v>5094.653900597221</v>
      </c>
      <c r="P22" s="19">
        <f>P16+P19+P20</f>
        <v>5402.520950245972</v>
      </c>
      <c r="Q22" s="19">
        <f>Q16+Q19+Q20</f>
        <v>5702.2319884052595</v>
      </c>
      <c r="R22" s="19">
        <f>R16+R19+R20</f>
        <v>5994.031695419769</v>
      </c>
      <c r="S22" s="19">
        <f>S16+S19+S20</f>
        <v>6278.157411223841</v>
      </c>
      <c r="T22" s="19">
        <f>T16+T19+T20</f>
        <v>6554.839355553792</v>
      </c>
      <c r="U22" s="19">
        <f>U16+U19+U20</f>
        <v>6824.300841553845</v>
      </c>
      <c r="V22" s="19">
        <f>V16+V19+V20</f>
        <v>7086.758482973896</v>
      </c>
      <c r="W22" s="19">
        <f>W16+W19+W20</f>
        <v>7342.422395151346</v>
      </c>
      <c r="X22" s="19">
        <f>X16+X19+X20</f>
        <v>7591.496389963472</v>
      </c>
      <c r="Y22" s="19">
        <f>Y16+Y19+Y20</f>
        <v>7834.178164931233</v>
      </c>
      <c r="Z22" s="19">
        <f>Z16+Z19+Z20</f>
        <v>8070.659486649964</v>
      </c>
      <c r="AA22" s="19">
        <f>AA16+AA19+AA20</f>
        <v>8301.12636871713</v>
      </c>
      <c r="AB22" s="19">
        <f>AB16+AB19+AB20</f>
        <v>8525.759244322284</v>
      </c>
      <c r="AC22" s="19">
        <f>AC16+AC19+AC20</f>
        <v>8744.73313365928</v>
      </c>
      <c r="AD22" s="19">
        <f>AD16+AD19+AD20</f>
        <v>8958.217806316168</v>
      </c>
      <c r="AE22" s="19">
        <f>AE16+AE19+AE20</f>
        <v>9166.377938793348</v>
      </c>
      <c r="AF22" s="19">
        <f>AF16+AF19+AF20</f>
        <v>9369.373267296214</v>
      </c>
      <c r="AG22" s="19">
        <f>AG16+AG19+AG20</f>
        <v>9567.358735943995</v>
      </c>
      <c r="AH22" s="19">
        <f>AH16+AH19+AH20</f>
        <v>9760.48464053234</v>
      </c>
      <c r="AI22" s="19">
        <f>AI16+AI19+AI20</f>
        <v>9948.896767983037</v>
      </c>
      <c r="AJ22" s="19">
        <f>AJ16+AJ19+AJ20</f>
        <v>10132.736531610211</v>
      </c>
      <c r="AK22" s="19">
        <f>AK16+AK19+AK20</f>
        <v>10312.141102328571</v>
      </c>
      <c r="AL22" s="19">
        <f>AL16+AL19+AL20</f>
        <v>10487.243535925381</v>
      </c>
    </row>
    <row r="23">
      <c r="A23" s="3" t="inlineStr">
        <is>
          <t>TOTAL REVENUE</t>
        </is>
      </c>
      <c r="C23" s="10">
        <f>C16+C17+C19+C20+C21</f>
        <v>5663.946666666667</v>
      </c>
      <c r="D23" s="10">
        <f>D16+D17+D19+D20+D21</f>
        <v>4091.774933333333</v>
      </c>
      <c r="E23" s="10">
        <f>E16+E17+E19+E20+E21</f>
        <v>4507.848352</v>
      </c>
      <c r="F23" s="10">
        <f>F16+F17+F19+F20+F21</f>
        <v>4912.519568106667</v>
      </c>
      <c r="G23" s="10">
        <f>G16+G17+G19+G20+G21</f>
        <v>5306.130647730134</v>
      </c>
      <c r="H23" s="10">
        <f>H16+H17+H19+H20+H21</f>
        <v>5689.013394964896</v>
      </c>
      <c r="I23" s="10">
        <f>I16+I17+I19+I20+I21</f>
        <v>6061.4896597826155</v>
      </c>
      <c r="J23" s="10">
        <f>J16+J17+J19+J20+J21</f>
        <v>6423.871636655804</v>
      </c>
      <c r="K23" s="10">
        <f>K16+K17+K19+K20+K21</f>
        <v>6776.462154222797</v>
      </c>
      <c r="L23" s="10">
        <f>L16+L17+L19+L20+L21</f>
        <v>7119.55495626278</v>
      </c>
      <c r="M23" s="10">
        <f>M16+M17+M19+M20+M21</f>
        <v>7453.434974241563</v>
      </c>
      <c r="N23" s="10">
        <f>N16+N17+N19+N20+N21</f>
        <v>7778.378591680983</v>
      </c>
      <c r="O23" s="10">
        <f>O16+O17+O19+O20+O21</f>
        <v>11094.65390059722</v>
      </c>
      <c r="P23" s="10">
        <f>P16+P17+P19+P20+P21</f>
        <v>11402.520950245971</v>
      </c>
      <c r="Q23" s="10">
        <f>Q16+Q17+Q19+Q20+Q21</f>
        <v>11702.23198840526</v>
      </c>
      <c r="R23" s="10">
        <f>R16+R17+R19+R20+R21</f>
        <v>11994.031695419768</v>
      </c>
      <c r="S23" s="10">
        <f>S16+S17+S19+S20+S21</f>
        <v>12278.157411223841</v>
      </c>
      <c r="T23" s="10">
        <f>T16+T17+T19+T20+T21</f>
        <v>12554.839355553791</v>
      </c>
      <c r="U23" s="10">
        <f>U16+U17+U19+U20+U21</f>
        <v>12824.300841553846</v>
      </c>
      <c r="V23" s="10">
        <f>V16+V17+V19+V20+V21</f>
        <v>13086.758482973895</v>
      </c>
      <c r="W23" s="10">
        <f>W16+W17+W19+W20+W21</f>
        <v>13342.422395151345</v>
      </c>
      <c r="X23" s="10">
        <f>X16+X17+X19+X20+X21</f>
        <v>13591.496389963471</v>
      </c>
      <c r="Y23" s="10">
        <f>Y16+Y17+Y19+Y20+Y21</f>
        <v>13834.178164931232</v>
      </c>
      <c r="Z23" s="10">
        <f>Z16+Z17+Z19+Z20+Z21</f>
        <v>14070.659486649964</v>
      </c>
      <c r="AA23" s="10">
        <f>AA16+AA17+AA19+AA20+AA21</f>
        <v>17301.12636871713</v>
      </c>
      <c r="AB23" s="10">
        <f>AB16+AB17+AB19+AB20+AB21</f>
        <v>17525.759244322282</v>
      </c>
      <c r="AC23" s="10">
        <f>AC16+AC17+AC19+AC20+AC21</f>
        <v>17744.73313365928</v>
      </c>
      <c r="AD23" s="10">
        <f>AD16+AD17+AD19+AD20+AD21</f>
        <v>17958.217806316166</v>
      </c>
      <c r="AE23" s="10">
        <f>AE16+AE17+AE19+AE20+AE21</f>
        <v>18166.377938793346</v>
      </c>
      <c r="AF23" s="10">
        <f>AF16+AF17+AF19+AF20+AF21</f>
        <v>18369.373267296214</v>
      </c>
      <c r="AG23" s="10">
        <f>AG16+AG17+AG19+AG20+AG21</f>
        <v>18567.358735943995</v>
      </c>
      <c r="AH23" s="10">
        <f>AH16+AH17+AH19+AH20+AH21</f>
        <v>18760.48464053234</v>
      </c>
      <c r="AI23" s="10">
        <f>AI16+AI17+AI19+AI20+AI21</f>
        <v>18948.896767983035</v>
      </c>
      <c r="AJ23" s="10">
        <f>AJ16+AJ17+AJ19+AJ20+AJ21</f>
        <v>19132.73653161021</v>
      </c>
      <c r="AK23" s="10">
        <f>AK16+AK17+AK19+AK20+AK21</f>
        <v>19312.141102328573</v>
      </c>
      <c r="AL23" s="10">
        <f>AL16+AL17+AL19+AL20+AL21</f>
        <v>19487.24353592538</v>
      </c>
    </row>
    <row r="25">
      <c r="A25" s="1" t="inlineStr">
        <is>
          <t>COSTS BEFORE FOUNDERS</t>
        </is>
      </c>
    </row>
    <row r="26">
      <c r="A26" s="5" t="inlineStr">
        <is>
          <t>Hosting and tools</t>
        </is>
      </c>
      <c r="C26" s="18">
        <f>Inputs!$B$25</f>
        <v>150</v>
      </c>
      <c r="D26" s="18">
        <f>Inputs!$B$25</f>
        <v>150</v>
      </c>
      <c r="E26" s="18">
        <f>Inputs!$B$25</f>
        <v>150</v>
      </c>
      <c r="F26" s="18">
        <f>Inputs!$B$25</f>
        <v>150</v>
      </c>
      <c r="G26" s="18">
        <f>Inputs!$B$25</f>
        <v>150</v>
      </c>
      <c r="H26" s="18">
        <f>Inputs!$B$25</f>
        <v>150</v>
      </c>
      <c r="I26" s="18">
        <f>Inputs!$B$25</f>
        <v>150</v>
      </c>
      <c r="J26" s="18">
        <f>Inputs!$B$25</f>
        <v>150</v>
      </c>
      <c r="K26" s="18">
        <f>Inputs!$B$25</f>
        <v>150</v>
      </c>
      <c r="L26" s="18">
        <f>Inputs!$B$25</f>
        <v>150</v>
      </c>
      <c r="M26" s="18">
        <f>Inputs!$B$25</f>
        <v>150</v>
      </c>
      <c r="N26" s="18">
        <f>Inputs!$B$25</f>
        <v>150</v>
      </c>
      <c r="O26" s="18">
        <f>Inputs!$B$25</f>
        <v>150</v>
      </c>
      <c r="P26" s="18">
        <f>Inputs!$B$25</f>
        <v>150</v>
      </c>
      <c r="Q26" s="18">
        <f>Inputs!$B$25</f>
        <v>150</v>
      </c>
      <c r="R26" s="18">
        <f>Inputs!$B$25</f>
        <v>150</v>
      </c>
      <c r="S26" s="18">
        <f>Inputs!$B$25</f>
        <v>150</v>
      </c>
      <c r="T26" s="18">
        <f>Inputs!$B$25</f>
        <v>150</v>
      </c>
      <c r="U26" s="18">
        <f>Inputs!$B$25</f>
        <v>150</v>
      </c>
      <c r="V26" s="18">
        <f>Inputs!$B$25</f>
        <v>150</v>
      </c>
      <c r="W26" s="18">
        <f>Inputs!$B$25</f>
        <v>150</v>
      </c>
      <c r="X26" s="18">
        <f>Inputs!$B$25</f>
        <v>150</v>
      </c>
      <c r="Y26" s="18">
        <f>Inputs!$B$25</f>
        <v>150</v>
      </c>
      <c r="Z26" s="18">
        <f>Inputs!$B$25</f>
        <v>150</v>
      </c>
      <c r="AA26" s="18">
        <f>Inputs!$B$25</f>
        <v>150</v>
      </c>
      <c r="AB26" s="18">
        <f>Inputs!$B$25</f>
        <v>150</v>
      </c>
      <c r="AC26" s="18">
        <f>Inputs!$B$25</f>
        <v>150</v>
      </c>
      <c r="AD26" s="18">
        <f>Inputs!$B$25</f>
        <v>150</v>
      </c>
      <c r="AE26" s="18">
        <f>Inputs!$B$25</f>
        <v>150</v>
      </c>
      <c r="AF26" s="18">
        <f>Inputs!$B$25</f>
        <v>150</v>
      </c>
      <c r="AG26" s="18">
        <f>Inputs!$B$25</f>
        <v>150</v>
      </c>
      <c r="AH26" s="18">
        <f>Inputs!$B$25</f>
        <v>150</v>
      </c>
      <c r="AI26" s="18">
        <f>Inputs!$B$25</f>
        <v>150</v>
      </c>
      <c r="AJ26" s="18">
        <f>Inputs!$B$25</f>
        <v>150</v>
      </c>
      <c r="AK26" s="18">
        <f>Inputs!$B$25</f>
        <v>150</v>
      </c>
      <c r="AL26" s="18">
        <f>Inputs!$B$25</f>
        <v>150</v>
      </c>
    </row>
    <row r="27">
      <c r="A27" s="5" t="inlineStr">
        <is>
          <t>Payment processing</t>
        </is>
      </c>
      <c r="C27" s="18">
        <f>C18*Inputs!$B$26</f>
        <v>33.0496</v>
      </c>
      <c r="D27" s="18">
        <f>D18*Inputs!$B$26</f>
        <v>58.003712</v>
      </c>
      <c r="E27" s="18">
        <f>E18*Inputs!$B$26</f>
        <v>82.55480064</v>
      </c>
      <c r="F27" s="18">
        <f>F18*Inputs!$B$26</f>
        <v>106.7149566208</v>
      </c>
      <c r="G27" s="18">
        <f>G18*Inputs!$B$26</f>
        <v>130.495907922176</v>
      </c>
      <c r="H27" s="18">
        <f>H18*Inputs!$B$26</f>
        <v>153.90903068451072</v>
      </c>
      <c r="I27" s="18">
        <f>I18*Inputs!$B$26</f>
        <v>176.9653597639754</v>
      </c>
      <c r="J27" s="18">
        <f>J18*Inputs!$B$26</f>
        <v>199.67559897105613</v>
      </c>
      <c r="K27" s="18">
        <f>K18*Inputs!$B$26</f>
        <v>222.05013100192448</v>
      </c>
      <c r="L27" s="18">
        <f>L18*Inputs!$B$26</f>
        <v>244.09902707186674</v>
      </c>
      <c r="M27" s="18">
        <f>M18*Inputs!$B$26</f>
        <v>265.83205625971067</v>
      </c>
      <c r="N27" s="18">
        <f>N18*Inputs!$B$26</f>
        <v>287.2586945719195</v>
      </c>
      <c r="O27" s="18">
        <f>O18*Inputs!$B$26</f>
        <v>308.3881337347619</v>
      </c>
      <c r="P27" s="18">
        <f>P18*Inputs!$B$26</f>
        <v>329.229289722719</v>
      </c>
      <c r="Q27" s="18">
        <f>Q18*Inputs!$B$26</f>
        <v>349.7908110310375</v>
      </c>
      <c r="R27" s="18">
        <f>R18*Inputs!$B$26</f>
        <v>370.0810867001063</v>
      </c>
      <c r="S27" s="18">
        <f>S18*Inputs!$B$26</f>
        <v>390.1082540991032</v>
      </c>
      <c r="T27" s="18">
        <f>T18*Inputs!$B$26</f>
        <v>409.88020647613007</v>
      </c>
      <c r="U27" s="18">
        <f>U18*Inputs!$B$26</f>
        <v>429.4046002818461</v>
      </c>
      <c r="V27" s="18">
        <f>V18*Inputs!$B$26</f>
        <v>448.6888622733907</v>
      </c>
      <c r="W27" s="18">
        <f>W18*Inputs!$B$26</f>
        <v>467.740196405189</v>
      </c>
      <c r="X27" s="18">
        <f>X18*Inputs!$B$26</f>
        <v>486.5655905130333</v>
      </c>
      <c r="Y27" s="18">
        <f>Y18*Inputs!$B$26</f>
        <v>505.17182279764233</v>
      </c>
      <c r="Z27" s="18">
        <f>Z18*Inputs!$B$26</f>
        <v>523.565468113713</v>
      </c>
      <c r="AA27" s="18">
        <f>AA18*Inputs!$B$26</f>
        <v>541.7529040703016</v>
      </c>
      <c r="AB27" s="18">
        <f>AB18*Inputs!$B$26</f>
        <v>559.7403169481927</v>
      </c>
      <c r="AC27" s="18">
        <f>AC18*Inputs!$B$26</f>
        <v>577.5337074397468</v>
      </c>
      <c r="AD27" s="18">
        <f>AD18*Inputs!$B$26</f>
        <v>595.1388962165544</v>
      </c>
      <c r="AE27" s="18">
        <f>AE18*Inputs!$B$26</f>
        <v>612.5615293300576</v>
      </c>
      <c r="AF27" s="18">
        <f>AF18*Inputs!$B$26</f>
        <v>629.8070834501559</v>
      </c>
      <c r="AG27" s="18">
        <f>AG18*Inputs!$B$26</f>
        <v>646.8808709466514</v>
      </c>
      <c r="AH27" s="18">
        <f>AH18*Inputs!$B$26</f>
        <v>663.7880448182516</v>
      </c>
      <c r="AI27" s="18">
        <f>AI18*Inputs!$B$26</f>
        <v>680.533603473704</v>
      </c>
      <c r="AJ27" s="18">
        <f>AJ18*Inputs!$B$26</f>
        <v>697.122395369493</v>
      </c>
      <c r="AK27" s="18">
        <f>AK18*Inputs!$B$26</f>
        <v>713.5591235084082</v>
      </c>
      <c r="AL27" s="18">
        <f>AL18*Inputs!$B$26</f>
        <v>729.8483498031559</v>
      </c>
    </row>
    <row r="28">
      <c r="A28" s="5" t="inlineStr">
        <is>
          <t>Bookkeeping and insurance</t>
        </is>
      </c>
      <c r="C28" s="18">
        <f>Inputs!$B$27</f>
        <v>125</v>
      </c>
      <c r="D28" s="18">
        <f>Inputs!$B$27</f>
        <v>125</v>
      </c>
      <c r="E28" s="18">
        <f>Inputs!$B$27</f>
        <v>125</v>
      </c>
      <c r="F28" s="18">
        <f>Inputs!$B$27</f>
        <v>125</v>
      </c>
      <c r="G28" s="18">
        <f>Inputs!$B$27</f>
        <v>125</v>
      </c>
      <c r="H28" s="18">
        <f>Inputs!$B$27</f>
        <v>125</v>
      </c>
      <c r="I28" s="18">
        <f>Inputs!$B$27</f>
        <v>125</v>
      </c>
      <c r="J28" s="18">
        <f>Inputs!$B$27</f>
        <v>125</v>
      </c>
      <c r="K28" s="18">
        <f>Inputs!$B$27</f>
        <v>125</v>
      </c>
      <c r="L28" s="18">
        <f>Inputs!$B$27</f>
        <v>125</v>
      </c>
      <c r="M28" s="18">
        <f>Inputs!$B$27</f>
        <v>125</v>
      </c>
      <c r="N28" s="18">
        <f>Inputs!$B$27</f>
        <v>125</v>
      </c>
      <c r="O28" s="18">
        <f>Inputs!$B$27</f>
        <v>125</v>
      </c>
      <c r="P28" s="18">
        <f>Inputs!$B$27</f>
        <v>125</v>
      </c>
      <c r="Q28" s="18">
        <f>Inputs!$B$27</f>
        <v>125</v>
      </c>
      <c r="R28" s="18">
        <f>Inputs!$B$27</f>
        <v>125</v>
      </c>
      <c r="S28" s="18">
        <f>Inputs!$B$27</f>
        <v>125</v>
      </c>
      <c r="T28" s="18">
        <f>Inputs!$B$27</f>
        <v>125</v>
      </c>
      <c r="U28" s="18">
        <f>Inputs!$B$27</f>
        <v>125</v>
      </c>
      <c r="V28" s="18">
        <f>Inputs!$B$27</f>
        <v>125</v>
      </c>
      <c r="W28" s="18">
        <f>Inputs!$B$27</f>
        <v>125</v>
      </c>
      <c r="X28" s="18">
        <f>Inputs!$B$27</f>
        <v>125</v>
      </c>
      <c r="Y28" s="18">
        <f>Inputs!$B$27</f>
        <v>125</v>
      </c>
      <c r="Z28" s="18">
        <f>Inputs!$B$27</f>
        <v>125</v>
      </c>
      <c r="AA28" s="18">
        <f>Inputs!$B$27</f>
        <v>125</v>
      </c>
      <c r="AB28" s="18">
        <f>Inputs!$B$27</f>
        <v>125</v>
      </c>
      <c r="AC28" s="18">
        <f>Inputs!$B$27</f>
        <v>125</v>
      </c>
      <c r="AD28" s="18">
        <f>Inputs!$B$27</f>
        <v>125</v>
      </c>
      <c r="AE28" s="18">
        <f>Inputs!$B$27</f>
        <v>125</v>
      </c>
      <c r="AF28" s="18">
        <f>Inputs!$B$27</f>
        <v>125</v>
      </c>
      <c r="AG28" s="18">
        <f>Inputs!$B$27</f>
        <v>125</v>
      </c>
      <c r="AH28" s="18">
        <f>Inputs!$B$27</f>
        <v>125</v>
      </c>
      <c r="AI28" s="18">
        <f>Inputs!$B$27</f>
        <v>125</v>
      </c>
      <c r="AJ28" s="18">
        <f>Inputs!$B$27</f>
        <v>125</v>
      </c>
      <c r="AK28" s="18">
        <f>Inputs!$B$27</f>
        <v>125</v>
      </c>
      <c r="AL28" s="18">
        <f>Inputs!$B$27</f>
        <v>125</v>
      </c>
    </row>
    <row r="29">
      <c r="A29" s="5" t="inlineStr">
        <is>
          <t>Formation, franchise taxes, tax return</t>
        </is>
      </c>
      <c r="C29" s="18">
        <f>Inputs!$B$28</f>
        <v>700</v>
      </c>
      <c r="D29" s="18">
        <f>0</f>
        <v>0</v>
      </c>
      <c r="E29" s="18">
        <f>0</f>
        <v>0</v>
      </c>
      <c r="F29" s="18">
        <f>0</f>
        <v>0</v>
      </c>
      <c r="G29" s="18">
        <f>Inputs!$B$29+Inputs!$B$31</f>
        <v>1250</v>
      </c>
      <c r="H29" s="18">
        <f>0</f>
        <v>0</v>
      </c>
      <c r="I29" s="18">
        <f>0</f>
        <v>0</v>
      </c>
      <c r="J29" s="18">
        <f>0</f>
        <v>0</v>
      </c>
      <c r="K29" s="18">
        <f>0</f>
        <v>0</v>
      </c>
      <c r="L29" s="18">
        <f>0</f>
        <v>0</v>
      </c>
      <c r="M29" s="18">
        <f>0</f>
        <v>0</v>
      </c>
      <c r="N29" s="18">
        <f>0</f>
        <v>0</v>
      </c>
      <c r="O29" s="18">
        <f>Inputs!$B$30</f>
        <v>800</v>
      </c>
      <c r="P29" s="18">
        <f>0</f>
        <v>0</v>
      </c>
      <c r="Q29" s="18">
        <f>0</f>
        <v>0</v>
      </c>
      <c r="R29" s="18">
        <f>0</f>
        <v>0</v>
      </c>
      <c r="S29" s="18">
        <f>Inputs!$B$29+Inputs!$B$31</f>
        <v>1250</v>
      </c>
      <c r="T29" s="18">
        <f>0</f>
        <v>0</v>
      </c>
      <c r="U29" s="18">
        <f>0</f>
        <v>0</v>
      </c>
      <c r="V29" s="18">
        <f>0</f>
        <v>0</v>
      </c>
      <c r="W29" s="18">
        <f>0</f>
        <v>0</v>
      </c>
      <c r="X29" s="18">
        <f>0</f>
        <v>0</v>
      </c>
      <c r="Y29" s="18">
        <f>0</f>
        <v>0</v>
      </c>
      <c r="Z29" s="18">
        <f>0</f>
        <v>0</v>
      </c>
      <c r="AA29" s="18">
        <f>Inputs!$B$30</f>
        <v>800</v>
      </c>
      <c r="AB29" s="18">
        <f>0</f>
        <v>0</v>
      </c>
      <c r="AC29" s="18">
        <f>0</f>
        <v>0</v>
      </c>
      <c r="AD29" s="18">
        <f>0</f>
        <v>0</v>
      </c>
      <c r="AE29" s="18">
        <f>Inputs!$B$29+Inputs!$B$31</f>
        <v>1250</v>
      </c>
      <c r="AF29" s="18">
        <f>0</f>
        <v>0</v>
      </c>
      <c r="AG29" s="18">
        <f>0</f>
        <v>0</v>
      </c>
      <c r="AH29" s="18">
        <f>0</f>
        <v>0</v>
      </c>
      <c r="AI29" s="18">
        <f>0</f>
        <v>0</v>
      </c>
      <c r="AJ29" s="18">
        <f>0</f>
        <v>0</v>
      </c>
      <c r="AK29" s="18">
        <f>0</f>
        <v>0</v>
      </c>
      <c r="AL29" s="18">
        <f>0</f>
        <v>0</v>
      </c>
    </row>
    <row r="30">
      <c r="A30" s="5" t="inlineStr">
        <is>
          <t>Contractors</t>
        </is>
      </c>
      <c r="C30" s="18">
        <f>Inputs!$B$32</f>
        <v>0</v>
      </c>
      <c r="D30" s="18">
        <f>Inputs!$B$32</f>
        <v>0</v>
      </c>
      <c r="E30" s="18">
        <f>Inputs!$B$32</f>
        <v>0</v>
      </c>
      <c r="F30" s="18">
        <f>Inputs!$B$32</f>
        <v>0</v>
      </c>
      <c r="G30" s="18">
        <f>Inputs!$B$32</f>
        <v>0</v>
      </c>
      <c r="H30" s="18">
        <f>Inputs!$B$32</f>
        <v>0</v>
      </c>
      <c r="I30" s="18">
        <f>Inputs!$B$32</f>
        <v>0</v>
      </c>
      <c r="J30" s="18">
        <f>Inputs!$B$32</f>
        <v>0</v>
      </c>
      <c r="K30" s="18">
        <f>Inputs!$B$32</f>
        <v>0</v>
      </c>
      <c r="L30" s="18">
        <f>Inputs!$B$32</f>
        <v>0</v>
      </c>
      <c r="M30" s="18">
        <f>Inputs!$B$32</f>
        <v>0</v>
      </c>
      <c r="N30" s="18">
        <f>Inputs!$B$32</f>
        <v>0</v>
      </c>
      <c r="O30" s="18">
        <f>Inputs!$B$32</f>
        <v>0</v>
      </c>
      <c r="P30" s="18">
        <f>Inputs!$B$32</f>
        <v>0</v>
      </c>
      <c r="Q30" s="18">
        <f>Inputs!$B$32</f>
        <v>0</v>
      </c>
      <c r="R30" s="18">
        <f>Inputs!$B$32</f>
        <v>0</v>
      </c>
      <c r="S30" s="18">
        <f>Inputs!$B$32</f>
        <v>0</v>
      </c>
      <c r="T30" s="18">
        <f>Inputs!$B$32</f>
        <v>0</v>
      </c>
      <c r="U30" s="18">
        <f>Inputs!$B$32</f>
        <v>0</v>
      </c>
      <c r="V30" s="18">
        <f>Inputs!$B$32</f>
        <v>0</v>
      </c>
      <c r="W30" s="18">
        <f>Inputs!$B$32</f>
        <v>0</v>
      </c>
      <c r="X30" s="18">
        <f>Inputs!$B$32</f>
        <v>0</v>
      </c>
      <c r="Y30" s="18">
        <f>Inputs!$B$32</f>
        <v>0</v>
      </c>
      <c r="Z30" s="18">
        <f>Inputs!$B$32</f>
        <v>0</v>
      </c>
      <c r="AA30" s="18">
        <f>Inputs!$B$32</f>
        <v>0</v>
      </c>
      <c r="AB30" s="18">
        <f>Inputs!$B$32</f>
        <v>0</v>
      </c>
      <c r="AC30" s="18">
        <f>Inputs!$B$32</f>
        <v>0</v>
      </c>
      <c r="AD30" s="18">
        <f>Inputs!$B$32</f>
        <v>0</v>
      </c>
      <c r="AE30" s="18">
        <f>Inputs!$B$32</f>
        <v>0</v>
      </c>
      <c r="AF30" s="18">
        <f>Inputs!$B$32</f>
        <v>0</v>
      </c>
      <c r="AG30" s="18">
        <f>Inputs!$B$32</f>
        <v>0</v>
      </c>
      <c r="AH30" s="18">
        <f>Inputs!$B$32</f>
        <v>0</v>
      </c>
      <c r="AI30" s="18">
        <f>Inputs!$B$32</f>
        <v>0</v>
      </c>
      <c r="AJ30" s="18">
        <f>Inputs!$B$32</f>
        <v>0</v>
      </c>
      <c r="AK30" s="18">
        <f>Inputs!$B$32</f>
        <v>0</v>
      </c>
      <c r="AL30" s="18">
        <f>Inputs!$B$32</f>
        <v>0</v>
      </c>
    </row>
    <row r="31">
      <c r="A31" s="5" t="inlineStr">
        <is>
          <t>Marketing: paid acquisition</t>
        </is>
      </c>
      <c r="C31" s="6">
        <f>Inputs!$D$37</f>
        <v>800</v>
      </c>
      <c r="D31" s="6">
        <f>Inputs!$D$37</f>
        <v>800</v>
      </c>
      <c r="E31" s="6">
        <f>Inputs!$D$37</f>
        <v>800</v>
      </c>
      <c r="F31" s="6">
        <f>Inputs!$D$37</f>
        <v>800</v>
      </c>
      <c r="G31" s="6">
        <f>Inputs!$D$37</f>
        <v>800</v>
      </c>
      <c r="H31" s="6">
        <f>Inputs!$D$37</f>
        <v>800</v>
      </c>
      <c r="I31" s="6">
        <f>Inputs!$D$37</f>
        <v>800</v>
      </c>
      <c r="J31" s="6">
        <f>Inputs!$D$37</f>
        <v>800</v>
      </c>
      <c r="K31" s="6">
        <f>Inputs!$D$37</f>
        <v>800</v>
      </c>
      <c r="L31" s="6">
        <f>Inputs!$D$37</f>
        <v>800</v>
      </c>
      <c r="M31" s="6">
        <f>Inputs!$D$37</f>
        <v>800</v>
      </c>
      <c r="N31" s="6">
        <f>Inputs!$D$37</f>
        <v>800</v>
      </c>
      <c r="O31" s="6">
        <f>Inputs!$D$37</f>
        <v>800</v>
      </c>
      <c r="P31" s="6">
        <f>Inputs!$D$37</f>
        <v>800</v>
      </c>
      <c r="Q31" s="6">
        <f>Inputs!$D$37</f>
        <v>800</v>
      </c>
      <c r="R31" s="6">
        <f>Inputs!$D$37</f>
        <v>800</v>
      </c>
      <c r="S31" s="6">
        <f>Inputs!$D$37</f>
        <v>800</v>
      </c>
      <c r="T31" s="6">
        <f>Inputs!$D$37</f>
        <v>800</v>
      </c>
      <c r="U31" s="6">
        <f>Inputs!$D$37</f>
        <v>800</v>
      </c>
      <c r="V31" s="6">
        <f>Inputs!$D$37</f>
        <v>800</v>
      </c>
      <c r="W31" s="6">
        <f>Inputs!$D$37</f>
        <v>800</v>
      </c>
      <c r="X31" s="6">
        <f>Inputs!$D$37</f>
        <v>800</v>
      </c>
      <c r="Y31" s="6">
        <f>Inputs!$D$37</f>
        <v>800</v>
      </c>
      <c r="Z31" s="6">
        <f>Inputs!$D$37</f>
        <v>800</v>
      </c>
      <c r="AA31" s="6">
        <f>Inputs!$D$37</f>
        <v>800</v>
      </c>
      <c r="AB31" s="6">
        <f>Inputs!$D$37</f>
        <v>800</v>
      </c>
      <c r="AC31" s="6">
        <f>Inputs!$D$37</f>
        <v>800</v>
      </c>
      <c r="AD31" s="6">
        <f>Inputs!$D$37</f>
        <v>800</v>
      </c>
      <c r="AE31" s="6">
        <f>Inputs!$D$37</f>
        <v>800</v>
      </c>
      <c r="AF31" s="6">
        <f>Inputs!$D$37</f>
        <v>800</v>
      </c>
      <c r="AG31" s="6">
        <f>Inputs!$D$37</f>
        <v>800</v>
      </c>
      <c r="AH31" s="6">
        <f>Inputs!$D$37</f>
        <v>800</v>
      </c>
      <c r="AI31" s="6">
        <f>Inputs!$D$37</f>
        <v>800</v>
      </c>
      <c r="AJ31" s="6">
        <f>Inputs!$D$37</f>
        <v>800</v>
      </c>
      <c r="AK31" s="6">
        <f>Inputs!$D$37</f>
        <v>800</v>
      </c>
      <c r="AL31" s="6">
        <f>Inputs!$D$37</f>
        <v>800</v>
      </c>
    </row>
    <row r="32">
      <c r="A32" s="5" t="inlineStr">
        <is>
          <t>Marketing: gatherings</t>
        </is>
      </c>
      <c r="C32" s="6">
        <f>Inputs!$D$39*Inputs!$D$40</f>
        <v>450</v>
      </c>
      <c r="D32" s="6">
        <f>Inputs!$D$39*Inputs!$D$40</f>
        <v>450</v>
      </c>
      <c r="E32" s="6">
        <f>Inputs!$D$39*Inputs!$D$40</f>
        <v>450</v>
      </c>
      <c r="F32" s="6">
        <f>Inputs!$D$39*Inputs!$D$40</f>
        <v>450</v>
      </c>
      <c r="G32" s="6">
        <f>Inputs!$D$39*Inputs!$D$40</f>
        <v>450</v>
      </c>
      <c r="H32" s="6">
        <f>Inputs!$D$39*Inputs!$D$40</f>
        <v>450</v>
      </c>
      <c r="I32" s="6">
        <f>Inputs!$D$39*Inputs!$D$40</f>
        <v>450</v>
      </c>
      <c r="J32" s="6">
        <f>Inputs!$D$39*Inputs!$D$40</f>
        <v>450</v>
      </c>
      <c r="K32" s="6">
        <f>Inputs!$D$39*Inputs!$D$40</f>
        <v>450</v>
      </c>
      <c r="L32" s="6">
        <f>Inputs!$D$39*Inputs!$D$40</f>
        <v>450</v>
      </c>
      <c r="M32" s="6">
        <f>Inputs!$D$39*Inputs!$D$40</f>
        <v>450</v>
      </c>
      <c r="N32" s="6">
        <f>Inputs!$D$39*Inputs!$D$40</f>
        <v>450</v>
      </c>
      <c r="O32" s="6">
        <f>Inputs!$D$39*Inputs!$D$40</f>
        <v>450</v>
      </c>
      <c r="P32" s="6">
        <f>Inputs!$D$39*Inputs!$D$40</f>
        <v>450</v>
      </c>
      <c r="Q32" s="6">
        <f>Inputs!$D$39*Inputs!$D$40</f>
        <v>450</v>
      </c>
      <c r="R32" s="6">
        <f>Inputs!$D$39*Inputs!$D$40</f>
        <v>450</v>
      </c>
      <c r="S32" s="6">
        <f>Inputs!$D$39*Inputs!$D$40</f>
        <v>450</v>
      </c>
      <c r="T32" s="6">
        <f>Inputs!$D$39*Inputs!$D$40</f>
        <v>450</v>
      </c>
      <c r="U32" s="6">
        <f>Inputs!$D$39*Inputs!$D$40</f>
        <v>450</v>
      </c>
      <c r="V32" s="6">
        <f>Inputs!$D$39*Inputs!$D$40</f>
        <v>450</v>
      </c>
      <c r="W32" s="6">
        <f>Inputs!$D$39*Inputs!$D$40</f>
        <v>450</v>
      </c>
      <c r="X32" s="6">
        <f>Inputs!$D$39*Inputs!$D$40</f>
        <v>450</v>
      </c>
      <c r="Y32" s="6">
        <f>Inputs!$D$39*Inputs!$D$40</f>
        <v>450</v>
      </c>
      <c r="Z32" s="6">
        <f>Inputs!$D$39*Inputs!$D$40</f>
        <v>450</v>
      </c>
      <c r="AA32" s="6">
        <f>Inputs!$D$39*Inputs!$D$40</f>
        <v>450</v>
      </c>
      <c r="AB32" s="6">
        <f>Inputs!$D$39*Inputs!$D$40</f>
        <v>450</v>
      </c>
      <c r="AC32" s="6">
        <f>Inputs!$D$39*Inputs!$D$40</f>
        <v>450</v>
      </c>
      <c r="AD32" s="6">
        <f>Inputs!$D$39*Inputs!$D$40</f>
        <v>450</v>
      </c>
      <c r="AE32" s="6">
        <f>Inputs!$D$39*Inputs!$D$40</f>
        <v>450</v>
      </c>
      <c r="AF32" s="6">
        <f>Inputs!$D$39*Inputs!$D$40</f>
        <v>450</v>
      </c>
      <c r="AG32" s="6">
        <f>Inputs!$D$39*Inputs!$D$40</f>
        <v>450</v>
      </c>
      <c r="AH32" s="6">
        <f>Inputs!$D$39*Inputs!$D$40</f>
        <v>450</v>
      </c>
      <c r="AI32" s="6">
        <f>Inputs!$D$39*Inputs!$D$40</f>
        <v>450</v>
      </c>
      <c r="AJ32" s="6">
        <f>Inputs!$D$39*Inputs!$D$40</f>
        <v>450</v>
      </c>
      <c r="AK32" s="6">
        <f>Inputs!$D$39*Inputs!$D$40</f>
        <v>450</v>
      </c>
      <c r="AL32" s="6">
        <f>Inputs!$D$39*Inputs!$D$40</f>
        <v>450</v>
      </c>
    </row>
    <row r="33">
      <c r="A33" s="5" t="inlineStr">
        <is>
          <t>Marketing: content and tools</t>
        </is>
      </c>
      <c r="C33" s="6">
        <f>Inputs!$D$41</f>
        <v>300</v>
      </c>
      <c r="D33" s="6">
        <f>Inputs!$D$41</f>
        <v>300</v>
      </c>
      <c r="E33" s="6">
        <f>Inputs!$D$41</f>
        <v>300</v>
      </c>
      <c r="F33" s="6">
        <f>Inputs!$D$41</f>
        <v>300</v>
      </c>
      <c r="G33" s="6">
        <f>Inputs!$D$41</f>
        <v>300</v>
      </c>
      <c r="H33" s="6">
        <f>Inputs!$D$41</f>
        <v>300</v>
      </c>
      <c r="I33" s="6">
        <f>Inputs!$D$41</f>
        <v>300</v>
      </c>
      <c r="J33" s="6">
        <f>Inputs!$D$41</f>
        <v>300</v>
      </c>
      <c r="K33" s="6">
        <f>Inputs!$D$41</f>
        <v>300</v>
      </c>
      <c r="L33" s="6">
        <f>Inputs!$D$41</f>
        <v>300</v>
      </c>
      <c r="M33" s="6">
        <f>Inputs!$D$41</f>
        <v>300</v>
      </c>
      <c r="N33" s="6">
        <f>Inputs!$D$41</f>
        <v>300</v>
      </c>
      <c r="O33" s="6">
        <f>Inputs!$D$41</f>
        <v>300</v>
      </c>
      <c r="P33" s="6">
        <f>Inputs!$D$41</f>
        <v>300</v>
      </c>
      <c r="Q33" s="6">
        <f>Inputs!$D$41</f>
        <v>300</v>
      </c>
      <c r="R33" s="6">
        <f>Inputs!$D$41</f>
        <v>300</v>
      </c>
      <c r="S33" s="6">
        <f>Inputs!$D$41</f>
        <v>300</v>
      </c>
      <c r="T33" s="6">
        <f>Inputs!$D$41</f>
        <v>300</v>
      </c>
      <c r="U33" s="6">
        <f>Inputs!$D$41</f>
        <v>300</v>
      </c>
      <c r="V33" s="6">
        <f>Inputs!$D$41</f>
        <v>300</v>
      </c>
      <c r="W33" s="6">
        <f>Inputs!$D$41</f>
        <v>300</v>
      </c>
      <c r="X33" s="6">
        <f>Inputs!$D$41</f>
        <v>300</v>
      </c>
      <c r="Y33" s="6">
        <f>Inputs!$D$41</f>
        <v>300</v>
      </c>
      <c r="Z33" s="6">
        <f>Inputs!$D$41</f>
        <v>300</v>
      </c>
      <c r="AA33" s="6">
        <f>Inputs!$D$41</f>
        <v>300</v>
      </c>
      <c r="AB33" s="6">
        <f>Inputs!$D$41</f>
        <v>300</v>
      </c>
      <c r="AC33" s="6">
        <f>Inputs!$D$41</f>
        <v>300</v>
      </c>
      <c r="AD33" s="6">
        <f>Inputs!$D$41</f>
        <v>300</v>
      </c>
      <c r="AE33" s="6">
        <f>Inputs!$D$41</f>
        <v>300</v>
      </c>
      <c r="AF33" s="6">
        <f>Inputs!$D$41</f>
        <v>300</v>
      </c>
      <c r="AG33" s="6">
        <f>Inputs!$D$41</f>
        <v>300</v>
      </c>
      <c r="AH33" s="6">
        <f>Inputs!$D$41</f>
        <v>300</v>
      </c>
      <c r="AI33" s="6">
        <f>Inputs!$D$41</f>
        <v>300</v>
      </c>
      <c r="AJ33" s="6">
        <f>Inputs!$D$41</f>
        <v>300</v>
      </c>
      <c r="AK33" s="6">
        <f>Inputs!$D$41</f>
        <v>300</v>
      </c>
      <c r="AL33" s="6">
        <f>Inputs!$D$41</f>
        <v>300</v>
      </c>
    </row>
    <row r="34">
      <c r="A34" s="5" t="inlineStr">
        <is>
          <t>Marketing: November 6 and the film series</t>
        </is>
      </c>
      <c r="C34" s="6">
        <f>Inputs!$D$42</f>
        <v>6000</v>
      </c>
      <c r="D34" s="6">
        <f>0</f>
        <v>0</v>
      </c>
      <c r="E34" s="6">
        <f>Inputs!$D$43</f>
        <v>3000</v>
      </c>
      <c r="F34" s="6">
        <f>0</f>
        <v>0</v>
      </c>
      <c r="G34" s="6">
        <f>0</f>
        <v>0</v>
      </c>
      <c r="H34" s="6">
        <f>0</f>
        <v>0</v>
      </c>
      <c r="I34" s="6">
        <f>0</f>
        <v>0</v>
      </c>
      <c r="J34" s="6">
        <f>0</f>
        <v>0</v>
      </c>
      <c r="K34" s="6">
        <f>0</f>
        <v>0</v>
      </c>
      <c r="L34" s="6">
        <f>0</f>
        <v>0</v>
      </c>
      <c r="M34" s="6">
        <f>0</f>
        <v>0</v>
      </c>
      <c r="N34" s="6">
        <f>0</f>
        <v>0</v>
      </c>
      <c r="O34" s="6">
        <f>0</f>
        <v>0</v>
      </c>
      <c r="P34" s="6">
        <f>0</f>
        <v>0</v>
      </c>
      <c r="Q34" s="6">
        <f>0</f>
        <v>0</v>
      </c>
      <c r="R34" s="6">
        <f>0</f>
        <v>0</v>
      </c>
      <c r="S34" s="6">
        <f>0</f>
        <v>0</v>
      </c>
      <c r="T34" s="6">
        <f>0</f>
        <v>0</v>
      </c>
      <c r="U34" s="6">
        <f>0</f>
        <v>0</v>
      </c>
      <c r="V34" s="6">
        <f>0</f>
        <v>0</v>
      </c>
      <c r="W34" s="6">
        <f>0</f>
        <v>0</v>
      </c>
      <c r="X34" s="6">
        <f>0</f>
        <v>0</v>
      </c>
      <c r="Y34" s="6">
        <f>0</f>
        <v>0</v>
      </c>
      <c r="Z34" s="6">
        <f>0</f>
        <v>0</v>
      </c>
      <c r="AA34" s="6">
        <f>0</f>
        <v>0</v>
      </c>
      <c r="AB34" s="6">
        <f>0</f>
        <v>0</v>
      </c>
      <c r="AC34" s="6">
        <f>0</f>
        <v>0</v>
      </c>
      <c r="AD34" s="6">
        <f>0</f>
        <v>0</v>
      </c>
      <c r="AE34" s="6">
        <f>0</f>
        <v>0</v>
      </c>
      <c r="AF34" s="6">
        <f>0</f>
        <v>0</v>
      </c>
      <c r="AG34" s="6">
        <f>0</f>
        <v>0</v>
      </c>
      <c r="AH34" s="6">
        <f>0</f>
        <v>0</v>
      </c>
      <c r="AI34" s="6">
        <f>0</f>
        <v>0</v>
      </c>
      <c r="AJ34" s="6">
        <f>0</f>
        <v>0</v>
      </c>
      <c r="AK34" s="6">
        <f>0</f>
        <v>0</v>
      </c>
      <c r="AL34" s="6">
        <f>0</f>
        <v>0</v>
      </c>
    </row>
    <row r="35">
      <c r="A35" s="3" t="inlineStr">
        <is>
          <t>TOTAL COSTS BEFORE FOUNDERS</t>
        </is>
      </c>
      <c r="C35" s="10">
        <f>SUM(C26:C34)</f>
        <v>8558.0496</v>
      </c>
      <c r="D35" s="10">
        <f>SUM(D26:D34)</f>
        <v>1883.003712</v>
      </c>
      <c r="E35" s="10">
        <f>SUM(E26:E34)</f>
        <v>4907.55480064</v>
      </c>
      <c r="F35" s="10">
        <f>SUM(F26:F34)</f>
        <v>1931.7149566208</v>
      </c>
      <c r="G35" s="10">
        <f>SUM(G26:G34)</f>
        <v>3205.4959079221762</v>
      </c>
      <c r="H35" s="10">
        <f>SUM(H26:H34)</f>
        <v>1978.9090306845108</v>
      </c>
      <c r="I35" s="10">
        <f>SUM(I26:I34)</f>
        <v>2001.9653597639754</v>
      </c>
      <c r="J35" s="10">
        <f>SUM(J26:J34)</f>
        <v>2024.6755989710562</v>
      </c>
      <c r="K35" s="10">
        <f>SUM(K26:K34)</f>
        <v>2047.0501310019245</v>
      </c>
      <c r="L35" s="10">
        <f>SUM(L26:L34)</f>
        <v>2069.0990270718667</v>
      </c>
      <c r="M35" s="10">
        <f>SUM(M26:M34)</f>
        <v>2090.832056259711</v>
      </c>
      <c r="N35" s="10">
        <f>SUM(N26:N34)</f>
        <v>2112.2586945719195</v>
      </c>
      <c r="O35" s="10">
        <f>SUM(O26:O34)</f>
        <v>2933.388133734762</v>
      </c>
      <c r="P35" s="10">
        <f>SUM(P26:P34)</f>
        <v>2154.229289722719</v>
      </c>
      <c r="Q35" s="10">
        <f>SUM(Q26:Q34)</f>
        <v>2174.7908110310373</v>
      </c>
      <c r="R35" s="10">
        <f>SUM(R26:R34)</f>
        <v>2195.0810867001064</v>
      </c>
      <c r="S35" s="10">
        <f>SUM(S26:S34)</f>
        <v>3465.1082540991033</v>
      </c>
      <c r="T35" s="10">
        <f>SUM(T26:T34)</f>
        <v>2234.8802064761303</v>
      </c>
      <c r="U35" s="10">
        <f>SUM(U26:U34)</f>
        <v>2254.404600281846</v>
      </c>
      <c r="V35" s="10">
        <f>SUM(V26:V34)</f>
        <v>2273.6888622733904</v>
      </c>
      <c r="W35" s="10">
        <f>SUM(W26:W34)</f>
        <v>2292.7401964051887</v>
      </c>
      <c r="X35" s="10">
        <f>SUM(X26:X34)</f>
        <v>2311.5655905130334</v>
      </c>
      <c r="Y35" s="10">
        <f>SUM(Y26:Y34)</f>
        <v>2330.1718227976426</v>
      </c>
      <c r="Z35" s="10">
        <f>SUM(Z26:Z34)</f>
        <v>2348.565468113713</v>
      </c>
      <c r="AA35" s="10">
        <f>SUM(AA26:AA34)</f>
        <v>3166.7529040703016</v>
      </c>
      <c r="AB35" s="10">
        <f>SUM(AB26:AB34)</f>
        <v>2384.7403169481927</v>
      </c>
      <c r="AC35" s="10">
        <f>SUM(AC26:AC34)</f>
        <v>2402.5337074397466</v>
      </c>
      <c r="AD35" s="10">
        <f>SUM(AD26:AD34)</f>
        <v>2420.1388962165543</v>
      </c>
      <c r="AE35" s="10">
        <f>SUM(AE26:AE34)</f>
        <v>3687.5615293300575</v>
      </c>
      <c r="AF35" s="10">
        <f>SUM(AF26:AF34)</f>
        <v>2454.807083450156</v>
      </c>
      <c r="AG35" s="10">
        <f>SUM(AG26:AG34)</f>
        <v>2471.880870946651</v>
      </c>
      <c r="AH35" s="10">
        <f>SUM(AH26:AH34)</f>
        <v>2488.7880448182514</v>
      </c>
      <c r="AI35" s="10">
        <f>SUM(AI26:AI34)</f>
        <v>2505.533603473704</v>
      </c>
      <c r="AJ35" s="10">
        <f>SUM(AJ26:AJ34)</f>
        <v>2522.122395369493</v>
      </c>
      <c r="AK35" s="10">
        <f>SUM(AK26:AK34)</f>
        <v>2538.5591235084084</v>
      </c>
      <c r="AL35" s="10">
        <f>SUM(AL26:AL34)</f>
        <v>2554.848349803156</v>
      </c>
    </row>
    <row r="36">
      <c r="A36" s="5" t="inlineStr">
        <is>
          <t xml:space="preserve">  of which marketing</t>
        </is>
      </c>
      <c r="C36" s="19">
        <f>SUM(C31:C34)</f>
        <v>7550</v>
      </c>
      <c r="D36" s="19">
        <f>SUM(D31:D34)</f>
        <v>1550</v>
      </c>
      <c r="E36" s="19">
        <f>SUM(E31:E34)</f>
        <v>4550</v>
      </c>
      <c r="F36" s="19">
        <f>SUM(F31:F34)</f>
        <v>1550</v>
      </c>
      <c r="G36" s="19">
        <f>SUM(G31:G34)</f>
        <v>1550</v>
      </c>
      <c r="H36" s="19">
        <f>SUM(H31:H34)</f>
        <v>1550</v>
      </c>
      <c r="I36" s="19">
        <f>SUM(I31:I34)</f>
        <v>1550</v>
      </c>
      <c r="J36" s="19">
        <f>SUM(J31:J34)</f>
        <v>1550</v>
      </c>
      <c r="K36" s="19">
        <f>SUM(K31:K34)</f>
        <v>1550</v>
      </c>
      <c r="L36" s="19">
        <f>SUM(L31:L34)</f>
        <v>1550</v>
      </c>
      <c r="M36" s="19">
        <f>SUM(M31:M34)</f>
        <v>1550</v>
      </c>
      <c r="N36" s="19">
        <f>SUM(N31:N34)</f>
        <v>1550</v>
      </c>
      <c r="O36" s="19">
        <f>SUM(O31:O34)</f>
        <v>1550</v>
      </c>
      <c r="P36" s="19">
        <f>SUM(P31:P34)</f>
        <v>1550</v>
      </c>
      <c r="Q36" s="19">
        <f>SUM(Q31:Q34)</f>
        <v>1550</v>
      </c>
      <c r="R36" s="19">
        <f>SUM(R31:R34)</f>
        <v>1550</v>
      </c>
      <c r="S36" s="19">
        <f>SUM(S31:S34)</f>
        <v>1550</v>
      </c>
      <c r="T36" s="19">
        <f>SUM(T31:T34)</f>
        <v>1550</v>
      </c>
      <c r="U36" s="19">
        <f>SUM(U31:U34)</f>
        <v>1550</v>
      </c>
      <c r="V36" s="19">
        <f>SUM(V31:V34)</f>
        <v>1550</v>
      </c>
      <c r="W36" s="19">
        <f>SUM(W31:W34)</f>
        <v>1550</v>
      </c>
      <c r="X36" s="19">
        <f>SUM(X31:X34)</f>
        <v>1550</v>
      </c>
      <c r="Y36" s="19">
        <f>SUM(Y31:Y34)</f>
        <v>1550</v>
      </c>
      <c r="Z36" s="19">
        <f>SUM(Z31:Z34)</f>
        <v>1550</v>
      </c>
      <c r="AA36" s="19">
        <f>SUM(AA31:AA34)</f>
        <v>1550</v>
      </c>
      <c r="AB36" s="19">
        <f>SUM(AB31:AB34)</f>
        <v>1550</v>
      </c>
      <c r="AC36" s="19">
        <f>SUM(AC31:AC34)</f>
        <v>1550</v>
      </c>
      <c r="AD36" s="19">
        <f>SUM(AD31:AD34)</f>
        <v>1550</v>
      </c>
      <c r="AE36" s="19">
        <f>SUM(AE31:AE34)</f>
        <v>1550</v>
      </c>
      <c r="AF36" s="19">
        <f>SUM(AF31:AF34)</f>
        <v>1550</v>
      </c>
      <c r="AG36" s="19">
        <f>SUM(AG31:AG34)</f>
        <v>1550</v>
      </c>
      <c r="AH36" s="19">
        <f>SUM(AH31:AH34)</f>
        <v>1550</v>
      </c>
      <c r="AI36" s="19">
        <f>SUM(AI31:AI34)</f>
        <v>1550</v>
      </c>
      <c r="AJ36" s="19">
        <f>SUM(AJ31:AJ34)</f>
        <v>1550</v>
      </c>
      <c r="AK36" s="19">
        <f>SUM(AK31:AK34)</f>
        <v>1550</v>
      </c>
      <c r="AL36" s="19">
        <f>SUM(AL31:AL34)</f>
        <v>1550</v>
      </c>
    </row>
    <row r="38">
      <c r="A38" s="1" t="inlineStr">
        <is>
          <t>CASH</t>
        </is>
      </c>
    </row>
    <row r="39">
      <c r="A39" s="5" t="inlineStr">
        <is>
          <t>Operating cash flow (revenue less costs)</t>
        </is>
      </c>
      <c r="C39" s="18">
        <f>C23-C35</f>
        <v>-2894.1029333333336</v>
      </c>
      <c r="D39" s="18">
        <f>D23-D35</f>
        <v>2208.7712213333334</v>
      </c>
      <c r="E39" s="18">
        <f>E23-E35</f>
        <v>-399.7064486400004</v>
      </c>
      <c r="F39" s="18">
        <f>F23-F35</f>
        <v>2980.804611485867</v>
      </c>
      <c r="G39" s="18">
        <f>G23-G35</f>
        <v>2100.634739807958</v>
      </c>
      <c r="H39" s="18">
        <f>H23-H35</f>
        <v>3710.104364280385</v>
      </c>
      <c r="I39" s="18">
        <f>I23-I35</f>
        <v>4059.52430001864</v>
      </c>
      <c r="J39" s="18">
        <f>J23-J35</f>
        <v>4399.196037684747</v>
      </c>
      <c r="K39" s="18">
        <f>K23-K35</f>
        <v>4729.4120232208725</v>
      </c>
      <c r="L39" s="18">
        <f>L23-L35</f>
        <v>5050.455929190914</v>
      </c>
      <c r="M39" s="18">
        <f>M23-M35</f>
        <v>5362.602917981852</v>
      </c>
      <c r="N39" s="18">
        <f>N23-N35</f>
        <v>5666.1198971090635</v>
      </c>
      <c r="O39" s="18">
        <f>O23-O35</f>
        <v>8161.265766862459</v>
      </c>
      <c r="P39" s="18">
        <f>P23-P35</f>
        <v>9248.291660523253</v>
      </c>
      <c r="Q39" s="18">
        <f>Q23-Q35</f>
        <v>9527.441177374221</v>
      </c>
      <c r="R39" s="18">
        <f>R23-R35</f>
        <v>9798.95060871966</v>
      </c>
      <c r="S39" s="18">
        <f>S23-S35</f>
        <v>8813.049157124738</v>
      </c>
      <c r="T39" s="18">
        <f>T23-T35</f>
        <v>10319.959149077662</v>
      </c>
      <c r="U39" s="18">
        <f>U23-U35</f>
        <v>10569.896241272</v>
      </c>
      <c r="V39" s="18">
        <f>V23-V35</f>
        <v>10813.069620700506</v>
      </c>
      <c r="W39" s="18">
        <f>W23-W35</f>
        <v>11049.682198746155</v>
      </c>
      <c r="X39" s="18">
        <f>X23-X35</f>
        <v>11279.930799450438</v>
      </c>
      <c r="Y39" s="18">
        <f>Y23-Y35</f>
        <v>11504.00634213359</v>
      </c>
      <c r="Z39" s="18">
        <f>Z23-Z35</f>
        <v>11722.09401853625</v>
      </c>
      <c r="AA39" s="18">
        <f>AA23-AA35</f>
        <v>14134.37346464683</v>
      </c>
      <c r="AB39" s="18">
        <f>AB23-AB35</f>
        <v>15141.018927374089</v>
      </c>
      <c r="AC39" s="18">
        <f>AC23-AC35</f>
        <v>15342.199426219533</v>
      </c>
      <c r="AD39" s="18">
        <f>AD23-AD35</f>
        <v>15538.078910099612</v>
      </c>
      <c r="AE39" s="18">
        <f>AE23-AE35</f>
        <v>14478.816409463288</v>
      </c>
      <c r="AF39" s="18">
        <f>AF23-AF35</f>
        <v>15914.566183846058</v>
      </c>
      <c r="AG39" s="18">
        <f>AG23-AG35</f>
        <v>16095.477864997345</v>
      </c>
      <c r="AH39" s="18">
        <f>AH23-AH35</f>
        <v>16271.69659571409</v>
      </c>
      <c r="AI39" s="18">
        <f>AI23-AI35</f>
        <v>16443.36316450933</v>
      </c>
      <c r="AJ39" s="18">
        <f>AJ23-AJ35</f>
        <v>16610.614136240718</v>
      </c>
      <c r="AK39" s="18">
        <f>AK23-AK35</f>
        <v>16773.581978820162</v>
      </c>
      <c r="AL39" s="18">
        <f>AL23-AL35</f>
        <v>16932.395186122223</v>
      </c>
    </row>
    <row r="40">
      <c r="A40" s="5" t="inlineStr">
        <is>
          <t>Founder distributions (share of revenue once past the threshold)</t>
        </is>
      </c>
      <c r="C40" s="18">
        <f>IF(IF(Inputs!$B$8=1,C22,C23)&gt;=Inputs!$B$6,C23*Inputs!$B$7,0)</f>
        <v>0</v>
      </c>
      <c r="D40" s="18">
        <f>IF(IF(Inputs!$B$8=1,D22,D23)&gt;=Inputs!$B$6,D23*Inputs!$B$7,0)</f>
        <v>1227.5324799999999</v>
      </c>
      <c r="E40" s="18">
        <f>IF(IF(Inputs!$B$8=1,E22,E23)&gt;=Inputs!$B$6,E23*Inputs!$B$7,0)</f>
        <v>1352.3545056</v>
      </c>
      <c r="F40" s="18">
        <f>IF(IF(Inputs!$B$8=1,F22,F23)&gt;=Inputs!$B$6,F23*Inputs!$B$7,0)</f>
        <v>1473.7558704320002</v>
      </c>
      <c r="G40" s="18">
        <f>IF(IF(Inputs!$B$8=1,G22,G23)&gt;=Inputs!$B$6,G23*Inputs!$B$7,0)</f>
        <v>1591.8391943190402</v>
      </c>
      <c r="H40" s="18">
        <f>IF(IF(Inputs!$B$8=1,H22,H23)&gt;=Inputs!$B$6,H23*Inputs!$B$7,0)</f>
        <v>1706.7040184894688</v>
      </c>
      <c r="I40" s="18">
        <f>IF(IF(Inputs!$B$8=1,I22,I23)&gt;=Inputs!$B$6,I23*Inputs!$B$7,0)</f>
        <v>1818.4468979347846</v>
      </c>
      <c r="J40" s="18">
        <f>IF(IF(Inputs!$B$8=1,J22,J23)&gt;=Inputs!$B$6,J23*Inputs!$B$7,0)</f>
        <v>1927.1614909967411</v>
      </c>
      <c r="K40" s="18">
        <f>IF(IF(Inputs!$B$8=1,K22,K23)&gt;=Inputs!$B$6,K23*Inputs!$B$7,0)</f>
        <v>2032.938646266839</v>
      </c>
      <c r="L40" s="18">
        <f>IF(IF(Inputs!$B$8=1,L22,L23)&gt;=Inputs!$B$6,L23*Inputs!$B$7,0)</f>
        <v>2135.866486878834</v>
      </c>
      <c r="M40" s="18">
        <f>IF(IF(Inputs!$B$8=1,M22,M23)&gt;=Inputs!$B$6,M23*Inputs!$B$7,0)</f>
        <v>2236.030492272469</v>
      </c>
      <c r="N40" s="18">
        <f>IF(IF(Inputs!$B$8=1,N22,N23)&gt;=Inputs!$B$6,N23*Inputs!$B$7,0)</f>
        <v>2333.513577504295</v>
      </c>
      <c r="O40" s="18">
        <f>IF(IF(Inputs!$B$8=1,O22,O23)&gt;=Inputs!$B$6,O23*Inputs!$B$7,0)</f>
        <v>3328.3961701791663</v>
      </c>
      <c r="P40" s="18">
        <f>IF(IF(Inputs!$B$8=1,P22,P23)&gt;=Inputs!$B$6,P23*Inputs!$B$7,0)</f>
        <v>3420.7562850737913</v>
      </c>
      <c r="Q40" s="18">
        <f>IF(IF(Inputs!$B$8=1,Q22,Q23)&gt;=Inputs!$B$6,Q23*Inputs!$B$7,0)</f>
        <v>3510.6695965215777</v>
      </c>
      <c r="R40" s="18">
        <f>IF(IF(Inputs!$B$8=1,R22,R23)&gt;=Inputs!$B$6,R23*Inputs!$B$7,0)</f>
        <v>3598.20950862593</v>
      </c>
      <c r="S40" s="18">
        <f>IF(IF(Inputs!$B$8=1,S22,S23)&gt;=Inputs!$B$6,S23*Inputs!$B$7,0)</f>
        <v>3683.447223367152</v>
      </c>
      <c r="T40" s="18">
        <f>IF(IF(Inputs!$B$8=1,T22,T23)&gt;=Inputs!$B$6,T23*Inputs!$B$7,0)</f>
        <v>3766.451806666137</v>
      </c>
      <c r="U40" s="18">
        <f>IF(IF(Inputs!$B$8=1,U22,U23)&gt;=Inputs!$B$6,U23*Inputs!$B$7,0)</f>
        <v>3847.2902524661536</v>
      </c>
      <c r="V40" s="18">
        <f>IF(IF(Inputs!$B$8=1,V22,V23)&gt;=Inputs!$B$6,V23*Inputs!$B$7,0)</f>
        <v>3926.0275448921684</v>
      </c>
      <c r="W40" s="18">
        <f>IF(IF(Inputs!$B$8=1,W22,W23)&gt;=Inputs!$B$6,W23*Inputs!$B$7,0)</f>
        <v>4002.7267185454034</v>
      </c>
      <c r="X40" s="18">
        <f>IF(IF(Inputs!$B$8=1,X22,X23)&gt;=Inputs!$B$6,X23*Inputs!$B$7,0)</f>
        <v>4077.448916989041</v>
      </c>
      <c r="Y40" s="18">
        <f>IF(IF(Inputs!$B$8=1,Y22,Y23)&gt;=Inputs!$B$6,Y23*Inputs!$B$7,0)</f>
        <v>4150.25344947937</v>
      </c>
      <c r="Z40" s="18">
        <f>IF(IF(Inputs!$B$8=1,Z22,Z23)&gt;=Inputs!$B$6,Z23*Inputs!$B$7,0)</f>
        <v>4221.197845994989</v>
      </c>
      <c r="AA40" s="18">
        <f>IF(IF(Inputs!$B$8=1,AA22,AA23)&gt;=Inputs!$B$6,AA23*Inputs!$B$7,0)</f>
        <v>5190.337910615139</v>
      </c>
      <c r="AB40" s="18">
        <f>IF(IF(Inputs!$B$8=1,AB22,AB23)&gt;=Inputs!$B$6,AB23*Inputs!$B$7,0)</f>
        <v>5257.727773296684</v>
      </c>
      <c r="AC40" s="18">
        <f>IF(IF(Inputs!$B$8=1,AC22,AC23)&gt;=Inputs!$B$6,AC23*Inputs!$B$7,0)</f>
        <v>5323.419940097784</v>
      </c>
      <c r="AD40" s="18">
        <f>IF(IF(Inputs!$B$8=1,AD22,AD23)&gt;=Inputs!$B$6,AD23*Inputs!$B$7,0)</f>
        <v>5387.46534189485</v>
      </c>
      <c r="AE40" s="18">
        <f>IF(IF(Inputs!$B$8=1,AE22,AE23)&gt;=Inputs!$B$6,AE23*Inputs!$B$7,0)</f>
        <v>5449.913381638004</v>
      </c>
      <c r="AF40" s="18">
        <f>IF(IF(Inputs!$B$8=1,AF22,AF23)&gt;=Inputs!$B$6,AF23*Inputs!$B$7,0)</f>
        <v>5510.811980188864</v>
      </c>
      <c r="AG40" s="18">
        <f>IF(IF(Inputs!$B$8=1,AG22,AG23)&gt;=Inputs!$B$6,AG23*Inputs!$B$7,0)</f>
        <v>5570.207620783199</v>
      </c>
      <c r="AH40" s="18">
        <f>IF(IF(Inputs!$B$8=1,AH22,AH23)&gt;=Inputs!$B$6,AH23*Inputs!$B$7,0)</f>
        <v>5628.145392159702</v>
      </c>
      <c r="AI40" s="18">
        <f>IF(IF(Inputs!$B$8=1,AI22,AI23)&gt;=Inputs!$B$6,AI23*Inputs!$B$7,0)</f>
        <v>5684.66903039491</v>
      </c>
      <c r="AJ40" s="18">
        <f>IF(IF(Inputs!$B$8=1,AJ22,AJ23)&gt;=Inputs!$B$6,AJ23*Inputs!$B$7,0)</f>
        <v>5739.820959483063</v>
      </c>
      <c r="AK40" s="18">
        <f>IF(IF(Inputs!$B$8=1,AK22,AK23)&gt;=Inputs!$B$6,AK23*Inputs!$B$7,0)</f>
        <v>5793.642330698572</v>
      </c>
      <c r="AL40" s="18">
        <f>IF(IF(Inputs!$B$8=1,AL22,AL23)&gt;=Inputs!$B$6,AL23*Inputs!$B$7,0)</f>
        <v>5846.1730607776135</v>
      </c>
    </row>
    <row r="41">
      <c r="A41" s="5" t="inlineStr">
        <is>
          <t xml:space="preserve">  per founder</t>
        </is>
      </c>
      <c r="C41" s="19">
        <f>C40/Inputs!$B$9</f>
        <v>0.0</v>
      </c>
      <c r="D41" s="19">
        <f>D40/Inputs!$B$9</f>
        <v>613.7662399999999</v>
      </c>
      <c r="E41" s="19">
        <f>E40/Inputs!$B$9</f>
        <v>676.1772528</v>
      </c>
      <c r="F41" s="19">
        <f>F40/Inputs!$B$9</f>
        <v>736.8779352160001</v>
      </c>
      <c r="G41" s="19">
        <f>G40/Inputs!$B$9</f>
        <v>795.9195971595201</v>
      </c>
      <c r="H41" s="19">
        <f>H40/Inputs!$B$9</f>
        <v>853.3520092447344</v>
      </c>
      <c r="I41" s="19">
        <f>I40/Inputs!$B$9</f>
        <v>909.2234489673923</v>
      </c>
      <c r="J41" s="19">
        <f>J40/Inputs!$B$9</f>
        <v>963.5807454983706</v>
      </c>
      <c r="K41" s="19">
        <f>K40/Inputs!$B$9</f>
        <v>1016.4693231334195</v>
      </c>
      <c r="L41" s="19">
        <f>L40/Inputs!$B$9</f>
        <v>1067.933243439417</v>
      </c>
      <c r="M41" s="19">
        <f>M40/Inputs!$B$9</f>
        <v>1118.0152461362345</v>
      </c>
      <c r="N41" s="19">
        <f>N40/Inputs!$B$9</f>
        <v>1166.7567887521475</v>
      </c>
      <c r="O41" s="19">
        <f>O40/Inputs!$B$9</f>
        <v>1664.1980850895832</v>
      </c>
      <c r="P41" s="19">
        <f>P40/Inputs!$B$9</f>
        <v>1710.3781425368957</v>
      </c>
      <c r="Q41" s="19">
        <f>Q40/Inputs!$B$9</f>
        <v>1755.3347982607888</v>
      </c>
      <c r="R41" s="19">
        <f>R40/Inputs!$B$9</f>
        <v>1799.104754312965</v>
      </c>
      <c r="S41" s="19">
        <f>S40/Inputs!$B$9</f>
        <v>1841.723611683576</v>
      </c>
      <c r="T41" s="19">
        <f>T40/Inputs!$B$9</f>
        <v>1883.2259033330686</v>
      </c>
      <c r="U41" s="19">
        <f>U40/Inputs!$B$9</f>
        <v>1923.6451262330768</v>
      </c>
      <c r="V41" s="19">
        <f>V40/Inputs!$B$9</f>
        <v>1963.0137724460842</v>
      </c>
      <c r="W41" s="19">
        <f>W40/Inputs!$B$9</f>
        <v>2001.3633592727017</v>
      </c>
      <c r="X41" s="19">
        <f>X40/Inputs!$B$9</f>
        <v>2038.7244584945206</v>
      </c>
      <c r="Y41" s="19">
        <f>Y40/Inputs!$B$9</f>
        <v>2075.126724739685</v>
      </c>
      <c r="Z41" s="19">
        <f>Z40/Inputs!$B$9</f>
        <v>2110.5989229974944</v>
      </c>
      <c r="AA41" s="19">
        <f>AA40/Inputs!$B$9</f>
        <v>2595.1689553075694</v>
      </c>
      <c r="AB41" s="19">
        <f>AB40/Inputs!$B$9</f>
        <v>2628.863886648342</v>
      </c>
      <c r="AC41" s="19">
        <f>AC40/Inputs!$B$9</f>
        <v>2661.709970048892</v>
      </c>
      <c r="AD41" s="19">
        <f>AD40/Inputs!$B$9</f>
        <v>2693.732670947425</v>
      </c>
      <c r="AE41" s="19">
        <f>AE40/Inputs!$B$9</f>
        <v>2724.956690819002</v>
      </c>
      <c r="AF41" s="19">
        <f>AF40/Inputs!$B$9</f>
        <v>2755.405990094432</v>
      </c>
      <c r="AG41" s="19">
        <f>AG40/Inputs!$B$9</f>
        <v>2785.1038103915994</v>
      </c>
      <c r="AH41" s="19">
        <f>AH40/Inputs!$B$9</f>
        <v>2814.072696079851</v>
      </c>
      <c r="AI41" s="19">
        <f>AI40/Inputs!$B$9</f>
        <v>2842.334515197455</v>
      </c>
      <c r="AJ41" s="19">
        <f>AJ40/Inputs!$B$9</f>
        <v>2869.9104797415316</v>
      </c>
      <c r="AK41" s="19">
        <f>AK40/Inputs!$B$9</f>
        <v>2896.821165349286</v>
      </c>
      <c r="AL41" s="19">
        <f>AL40/Inputs!$B$9</f>
        <v>2923.0865303888068</v>
      </c>
    </row>
    <row r="42">
      <c r="A42" s="5" t="inlineStr">
        <is>
          <t>Net cash flow</t>
        </is>
      </c>
      <c r="C42" s="18">
        <f>C39-C40</f>
        <v>-2894.1029333333336</v>
      </c>
      <c r="D42" s="18">
        <f>D39-D40</f>
        <v>981.2387413333336</v>
      </c>
      <c r="E42" s="18">
        <f>E39-E40</f>
        <v>-1752.0609542400005</v>
      </c>
      <c r="F42" s="18">
        <f>F39-F40</f>
        <v>1507.048741053867</v>
      </c>
      <c r="G42" s="18">
        <f>G39-G40</f>
        <v>508.7955454889177</v>
      </c>
      <c r="H42" s="18">
        <f>H39-H40</f>
        <v>2003.4003457909164</v>
      </c>
      <c r="I42" s="18">
        <f>I39-I40</f>
        <v>2241.0774020838553</v>
      </c>
      <c r="J42" s="18">
        <f>J39-J40</f>
        <v>2472.0345466880062</v>
      </c>
      <c r="K42" s="18">
        <f>K39-K40</f>
        <v>2696.4733769540335</v>
      </c>
      <c r="L42" s="18">
        <f>L39-L40</f>
        <v>2914.5894423120794</v>
      </c>
      <c r="M42" s="18">
        <f>M39-M40</f>
        <v>3126.5724257093834</v>
      </c>
      <c r="N42" s="18">
        <f>N39-N40</f>
        <v>3332.6063196047685</v>
      </c>
      <c r="O42" s="18">
        <f>O39-O40</f>
        <v>4832.869596683293</v>
      </c>
      <c r="P42" s="18">
        <f>P39-P40</f>
        <v>5827.535375449462</v>
      </c>
      <c r="Q42" s="18">
        <f>Q39-Q40</f>
        <v>6016.771580852644</v>
      </c>
      <c r="R42" s="18">
        <f>R39-R40</f>
        <v>6200.74110009373</v>
      </c>
      <c r="S42" s="18">
        <f>S39-S40</f>
        <v>5129.601933757586</v>
      </c>
      <c r="T42" s="18">
        <f>T39-T40</f>
        <v>6553.507342411525</v>
      </c>
      <c r="U42" s="18">
        <f>U39-U40</f>
        <v>6722.605988805846</v>
      </c>
      <c r="V42" s="18">
        <f>V39-V40</f>
        <v>6887.042075808337</v>
      </c>
      <c r="W42" s="18">
        <f>W39-W40</f>
        <v>7046.9554802007515</v>
      </c>
      <c r="X42" s="18">
        <f>X39-X40</f>
        <v>7202.481882461397</v>
      </c>
      <c r="Y42" s="18">
        <f>Y39-Y40</f>
        <v>7353.752892654221</v>
      </c>
      <c r="Z42" s="18">
        <f>Z39-Z40</f>
        <v>7500.896172541262</v>
      </c>
      <c r="AA42" s="18">
        <f>AA39-AA40</f>
        <v>8944.03555403169</v>
      </c>
      <c r="AB42" s="18">
        <f>AB39-AB40</f>
        <v>9883.291154077404</v>
      </c>
      <c r="AC42" s="18">
        <f>AC39-AC40</f>
        <v>10018.779486121748</v>
      </c>
      <c r="AD42" s="18">
        <f>AD39-AD40</f>
        <v>10150.61356820476</v>
      </c>
      <c r="AE42" s="18">
        <f>AE39-AE40</f>
        <v>9028.903027825285</v>
      </c>
      <c r="AF42" s="18">
        <f>AF39-AF40</f>
        <v>10403.754203657194</v>
      </c>
      <c r="AG42" s="18">
        <f>AG39-AG40</f>
        <v>10525.270244214145</v>
      </c>
      <c r="AH42" s="18">
        <f>AH39-AH40</f>
        <v>10643.551203554387</v>
      </c>
      <c r="AI42" s="18">
        <f>AI39-AI40</f>
        <v>10758.69413411442</v>
      </c>
      <c r="AJ42" s="18">
        <f>AJ39-AJ40</f>
        <v>10870.793176757656</v>
      </c>
      <c r="AK42" s="18">
        <f>AK39-AK40</f>
        <v>10979.939648121592</v>
      </c>
      <c r="AL42" s="18">
        <f>AL39-AL40</f>
        <v>11086.22212534461</v>
      </c>
    </row>
    <row r="43">
      <c r="A43" s="3" t="inlineStr">
        <is>
          <t>CASH, END OF MONTH</t>
        </is>
      </c>
      <c r="C43" s="10">
        <f>Inputs!$B$5+C42</f>
        <v>7105.897066666666</v>
      </c>
      <c r="D43" s="10">
        <f>C43+D42</f>
        <v>8087.135808</v>
      </c>
      <c r="E43" s="10">
        <f>D43+E42</f>
        <v>6335.074853759999</v>
      </c>
      <c r="F43" s="10">
        <f>E43+F42</f>
        <v>7842.1235948138665</v>
      </c>
      <c r="G43" s="10">
        <f>F43+G42</f>
        <v>8350.919140302783</v>
      </c>
      <c r="H43" s="10">
        <f>G43+H42</f>
        <v>10354.3194860937</v>
      </c>
      <c r="I43" s="10">
        <f>H43+I42</f>
        <v>12595.396888177555</v>
      </c>
      <c r="J43" s="10">
        <f>I43+J42</f>
        <v>15067.43143486556</v>
      </c>
      <c r="K43" s="10">
        <f>J43+K42</f>
        <v>17763.904811819593</v>
      </c>
      <c r="L43" s="10">
        <f>K43+L42</f>
        <v>20678.494254131674</v>
      </c>
      <c r="M43" s="10">
        <f>L43+M42</f>
        <v>23805.066679841057</v>
      </c>
      <c r="N43" s="10">
        <f>M43+N42</f>
        <v>27137.672999445826</v>
      </c>
      <c r="O43" s="10">
        <f>N43+O42</f>
        <v>31970.54259612912</v>
      </c>
      <c r="P43" s="10">
        <f>O43+P42</f>
        <v>37798.07797157858</v>
      </c>
      <c r="Q43" s="10">
        <f>P43+Q42</f>
        <v>43814.849552431224</v>
      </c>
      <c r="R43" s="10">
        <f>Q43+R42</f>
        <v>50015.59065252495</v>
      </c>
      <c r="S43" s="10">
        <f>R43+S42</f>
        <v>55145.19258628254</v>
      </c>
      <c r="T43" s="10">
        <f>S43+T42</f>
        <v>61698.69992869406</v>
      </c>
      <c r="U43" s="10">
        <f>T43+U42</f>
        <v>68421.3059174999</v>
      </c>
      <c r="V43" s="10">
        <f>U43+V42</f>
        <v>75308.34799330824</v>
      </c>
      <c r="W43" s="10">
        <f>V43+W42</f>
        <v>82355.30347350899</v>
      </c>
      <c r="X43" s="10">
        <f>W43+X42</f>
        <v>89557.78535597038</v>
      </c>
      <c r="Y43" s="10">
        <f>X43+Y42</f>
        <v>96911.5382486246</v>
      </c>
      <c r="Z43" s="10">
        <f>Y43+Z42</f>
        <v>104412.43442116586</v>
      </c>
      <c r="AA43" s="10">
        <f>Z43+AA42</f>
        <v>113356.46997519756</v>
      </c>
      <c r="AB43" s="10">
        <f>AA43+AB42</f>
        <v>123239.76112927496</v>
      </c>
      <c r="AC43" s="10">
        <f>AB43+AC42</f>
        <v>133258.54061539672</v>
      </c>
      <c r="AD43" s="10">
        <f>AC43+AD42</f>
        <v>143409.1541836015</v>
      </c>
      <c r="AE43" s="10">
        <f>AD43+AE42</f>
        <v>152438.05721142679</v>
      </c>
      <c r="AF43" s="10">
        <f>AE43+AF42</f>
        <v>162841.81141508397</v>
      </c>
      <c r="AG43" s="10">
        <f>AF43+AG42</f>
        <v>173367.0816592981</v>
      </c>
      <c r="AH43" s="10">
        <f>AG43+AH42</f>
        <v>184010.63286285248</v>
      </c>
      <c r="AI43" s="10">
        <f>AH43+AI42</f>
        <v>194769.3269969669</v>
      </c>
      <c r="AJ43" s="10">
        <f>AI43+AJ42</f>
        <v>205640.12017372457</v>
      </c>
      <c r="AK43" s="10">
        <f>AJ43+AK42</f>
        <v>216620.05982184617</v>
      </c>
      <c r="AL43" s="10">
        <f>AK43+AL42</f>
        <v>227706.2819471908</v>
      </c>
    </row>
    <row r="44">
      <c r="A44" s="5" t="inlineStr">
        <is>
          <t>Cumulative founder draw, each</t>
        </is>
      </c>
      <c r="C44" s="19">
        <f>C41</f>
        <v>0.0</v>
      </c>
      <c r="D44" s="19">
        <f>C44+D41</f>
        <v>613.7662399999999</v>
      </c>
      <c r="E44" s="19">
        <f>D44+E41</f>
        <v>1289.9434928</v>
      </c>
      <c r="F44" s="19">
        <f>E44+F41</f>
        <v>2026.821428016</v>
      </c>
      <c r="G44" s="19">
        <f>F44+G41</f>
        <v>2822.74102517552</v>
      </c>
      <c r="H44" s="19">
        <f>G44+H41</f>
        <v>3676.0930344202543</v>
      </c>
      <c r="I44" s="19">
        <f>H44+I41</f>
        <v>4585.316483387646</v>
      </c>
      <c r="J44" s="19">
        <f>I44+J41</f>
        <v>5548.897228886017</v>
      </c>
      <c r="K44" s="19">
        <f>J44+K41</f>
        <v>6565.366552019436</v>
      </c>
      <c r="L44" s="19">
        <f>K44+L41</f>
        <v>7633.299795458854</v>
      </c>
      <c r="M44" s="19">
        <f>L44+M41</f>
        <v>8751.315041595088</v>
      </c>
      <c r="N44" s="19">
        <f>M44+N41</f>
        <v>9918.071830347235</v>
      </c>
      <c r="O44" s="19">
        <f>N44+O41</f>
        <v>11582.269915436818</v>
      </c>
      <c r="P44" s="19">
        <f>O44+P41</f>
        <v>13292.648057973714</v>
      </c>
      <c r="Q44" s="19">
        <f>P44+Q41</f>
        <v>15047.982856234503</v>
      </c>
      <c r="R44" s="19">
        <f>Q44+R41</f>
        <v>16847.087610547467</v>
      </c>
      <c r="S44" s="19">
        <f>R44+S41</f>
        <v>18688.811222231045</v>
      </c>
      <c r="T44" s="19">
        <f>S44+T41</f>
        <v>20572.037125564115</v>
      </c>
      <c r="U44" s="19">
        <f>T44+U41</f>
        <v>22495.682251797192</v>
      </c>
      <c r="V44" s="19">
        <f>U44+V41</f>
        <v>24458.696024243276</v>
      </c>
      <c r="W44" s="19">
        <f>V44+W41</f>
        <v>26460.059383515978</v>
      </c>
      <c r="X44" s="19">
        <f>W44+X41</f>
        <v>28498.7838420105</v>
      </c>
      <c r="Y44" s="19">
        <f>X44+Y41</f>
        <v>30573.910566750186</v>
      </c>
      <c r="Z44" s="19">
        <f>Y44+Z41</f>
        <v>32684.50948974768</v>
      </c>
      <c r="AA44" s="19">
        <f>Z44+AA41</f>
        <v>35279.67844505525</v>
      </c>
      <c r="AB44" s="19">
        <f>AA44+AB41</f>
        <v>37908.5423317036</v>
      </c>
      <c r="AC44" s="19">
        <f>AB44+AC41</f>
        <v>40570.25230175249</v>
      </c>
      <c r="AD44" s="19">
        <f>AC44+AD41</f>
        <v>43263.98497269991</v>
      </c>
      <c r="AE44" s="19">
        <f>AD44+AE41</f>
        <v>45988.94166351891</v>
      </c>
      <c r="AF44" s="19">
        <f>AE44+AF41</f>
        <v>48744.347653613346</v>
      </c>
      <c r="AG44" s="19">
        <f>AF44+AG41</f>
        <v>51529.451464004946</v>
      </c>
      <c r="AH44" s="19">
        <f>AG44+AH41</f>
        <v>54343.524160084795</v>
      </c>
      <c r="AI44" s="19">
        <f>AH44+AI41</f>
        <v>57185.85867528225</v>
      </c>
      <c r="AJ44" s="19">
        <f>AI44+AJ41</f>
        <v>60055.76915502379</v>
      </c>
      <c r="AK44" s="19">
        <f>AJ44+AK41</f>
        <v>62952.59032037307</v>
      </c>
      <c r="AL44" s="19">
        <f>AK44+AL41</f>
        <v>65875.67685076188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2026-09-30T15:08:36Z</dcterms:created>
  <dcterms:modified xsi:type="dcterms:W3CDTF">2026-09-30T15:08:36Z</dcterms:modified>
</cp:coreProperties>
</file>