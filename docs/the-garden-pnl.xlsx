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;($#,##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</font>
    <font>
      <name val="Arial"/>
      <color rgb="000000FF"/>
    </font>
    <font>
      <name val="Arial"/>
      <b val="1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165" fontId="5" fillId="2" borderId="0" pivotButton="0" quotePrefix="0" xfId="0"/>
    <xf numFmtId="0" fontId="6" fillId="3" borderId="0" applyAlignment="1" pivotButton="0" quotePrefix="0" xfId="0">
      <alignment horizontal="center"/>
    </xf>
    <xf numFmtId="3" fontId="5" fillId="0" borderId="0" pivotButton="0" quotePrefix="0" xfId="0"/>
    <xf numFmtId="165" fontId="5" fillId="0" borderId="0" pivotButton="0" quotePrefix="0" xfId="0"/>
    <xf numFmtId="165" fontId="7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The Garden — P&amp;L Model Assumptions</t>
        </is>
      </c>
    </row>
    <row r="2">
      <c r="A2" s="2" t="inlineStr">
        <is>
          <t>Blue cells = inputs you can edit. Yellow fill = key levers. All $ figures are annual USD.</t>
        </is>
      </c>
    </row>
    <row r="4">
      <c r="A4" s="3" t="inlineStr">
        <is>
          <t>Global levers</t>
        </is>
      </c>
    </row>
    <row r="5">
      <c r="A5" s="4" t="inlineStr">
        <is>
          <t>Membership allocation — Space operations</t>
        </is>
      </c>
      <c r="B5" s="5" t="n">
        <v>0.4</v>
      </c>
    </row>
    <row r="6">
      <c r="A6" s="4" t="inlineStr">
        <is>
          <t>Membership allocation — creative project pool</t>
        </is>
      </c>
      <c r="B6" s="5" t="n">
        <v>0.5</v>
      </c>
    </row>
    <row r="7">
      <c r="A7" s="4" t="inlineStr">
        <is>
          <t>Membership allocation — platform (incl. processing)</t>
        </is>
      </c>
      <c r="B7" s="5" t="n">
        <v>0.1</v>
      </c>
    </row>
    <row r="8">
      <c r="A8" s="4" t="inlineStr">
        <is>
          <t>Platform share of all patronage flow (incl. processing)</t>
        </is>
      </c>
      <c r="B8" s="5" t="n">
        <v>0.1</v>
      </c>
    </row>
    <row r="9">
      <c r="A9" s="4" t="inlineStr">
        <is>
          <t>Payment processing cost (% of gross flow, paid from platform share)</t>
        </is>
      </c>
      <c r="B9" s="5" t="n">
        <v>0.03</v>
      </c>
    </row>
    <row r="10">
      <c r="A10" s="4" t="inlineStr">
        <is>
          <t>Average setup investment per new Space</t>
        </is>
      </c>
      <c r="B10" s="6" t="n">
        <v>3000</v>
      </c>
    </row>
    <row r="11">
      <c r="A11" s="4" t="inlineStr">
        <is>
          <t>Average Founding Patron partnership ($/yr)</t>
        </is>
      </c>
      <c r="B11" s="6" t="n">
        <v>15000</v>
      </c>
    </row>
    <row r="13">
      <c r="A13" s="2" t="inlineStr">
        <is>
          <t>Source: the-exchange-vision.md v0.10 Part 8 (40/50/10 membership split; 10% flow share; pilot tiers $10/$25/$50 + whole-church by quote). All figures are planning assumptions from Rick, not market data.</t>
        </is>
      </c>
    </row>
    <row r="15">
      <c r="A15" s="3" t="inlineStr">
        <is>
          <t>Annual drivers by case</t>
        </is>
      </c>
    </row>
    <row r="16">
      <c r="A16" s="7" t="inlineStr"/>
      <c r="B16" s="7" t="inlineStr">
        <is>
          <t>Fnd Y1</t>
        </is>
      </c>
      <c r="C16" s="7" t="inlineStr">
        <is>
          <t>Fnd Y2</t>
        </is>
      </c>
      <c r="D16" s="7" t="inlineStr">
        <is>
          <t>Fnd Y3</t>
        </is>
      </c>
      <c r="E16" s="7" t="inlineStr">
        <is>
          <t>Str Y1</t>
        </is>
      </c>
      <c r="F16" s="7" t="inlineStr">
        <is>
          <t>Str Y2</t>
        </is>
      </c>
      <c r="G16" s="7" t="inlineStr">
        <is>
          <t>Str Y3</t>
        </is>
      </c>
    </row>
    <row r="17">
      <c r="A17" s="4" t="inlineStr">
        <is>
          <t>New Spaces onboarded</t>
        </is>
      </c>
      <c r="B17" s="8" t="n">
        <v>4</v>
      </c>
      <c r="C17" s="8" t="n">
        <v>3</v>
      </c>
      <c r="D17" s="8" t="n">
        <v>5</v>
      </c>
      <c r="E17" s="8" t="n">
        <v>6</v>
      </c>
      <c r="F17" s="8" t="n">
        <v>6</v>
      </c>
      <c r="G17" s="8" t="n">
        <v>8</v>
      </c>
    </row>
    <row r="18">
      <c r="A18" s="4" t="inlineStr">
        <is>
          <t>Gross membership dues ($/yr)</t>
        </is>
      </c>
      <c r="B18" s="9" t="n">
        <v>30000</v>
      </c>
      <c r="C18" s="9" t="n">
        <v>90000</v>
      </c>
      <c r="D18" s="9" t="n">
        <v>250000</v>
      </c>
      <c r="E18" s="9" t="n">
        <v>80000</v>
      </c>
      <c r="F18" s="9" t="n">
        <v>220000</v>
      </c>
      <c r="G18" s="9" t="n">
        <v>550000</v>
      </c>
    </row>
    <row r="19">
      <c r="A19" s="4" t="inlineStr">
        <is>
          <t>Gross patronage flow — Fellowships, Projects, seats ($/yr)</t>
        </is>
      </c>
      <c r="B19" s="9" t="n">
        <v>50000</v>
      </c>
      <c r="C19" s="9" t="n">
        <v>160000</v>
      </c>
      <c r="D19" s="9" t="n">
        <v>450000</v>
      </c>
      <c r="E19" s="9" t="n">
        <v>140000</v>
      </c>
      <c r="F19" s="9" t="n">
        <v>380000</v>
      </c>
      <c r="G19" s="9" t="n">
        <v>950000</v>
      </c>
    </row>
    <row r="20">
      <c r="A20" s="4" t="inlineStr">
        <is>
          <t>Founding Patron partnerships (count)</t>
        </is>
      </c>
      <c r="B20" s="8" t="n">
        <v>1</v>
      </c>
      <c r="C20" s="8" t="n">
        <v>2</v>
      </c>
      <c r="D20" s="8" t="n">
        <v>3</v>
      </c>
      <c r="E20" s="8" t="n">
        <v>3</v>
      </c>
      <c r="F20" s="8" t="n">
        <v>6</v>
      </c>
      <c r="G20" s="8" t="n">
        <v>10</v>
      </c>
    </row>
    <row r="21">
      <c r="A21" s="4" t="inlineStr">
        <is>
          <t>Showcase &amp; event sponsorship revenue ($/yr)</t>
        </is>
      </c>
      <c r="B21" s="9" t="n">
        <v>8000</v>
      </c>
      <c r="C21" s="9" t="n">
        <v>15000</v>
      </c>
      <c r="D21" s="9" t="n">
        <v>25000</v>
      </c>
      <c r="E21" s="9" t="n">
        <v>15000</v>
      </c>
      <c r="F21" s="9" t="n">
        <v>25000</v>
      </c>
      <c r="G21" s="9" t="n">
        <v>40000</v>
      </c>
    </row>
    <row r="23">
      <c r="A23" s="2" t="inlineStr">
        <is>
          <t>Dues + patronage for Fnd Y1 sum to the vision doc's ~$80k total flow; Str Y1 to ~$220k; Y2–Y3 follow the trajectory table. Recalibrate after the pilot establishes real membership price, mix, and retention.</t>
        </is>
      </c>
    </row>
    <row r="25">
      <c r="A25" s="3" t="inlineStr">
        <is>
          <t>Operating cost inputs ($/yr)</t>
        </is>
      </c>
    </row>
    <row r="26">
      <c r="A26" s="7" t="inlineStr"/>
      <c r="B26" s="7" t="inlineStr">
        <is>
          <t>Fnd Y1</t>
        </is>
      </c>
      <c r="C26" s="7" t="inlineStr">
        <is>
          <t>Fnd Y2</t>
        </is>
      </c>
      <c r="D26" s="7" t="inlineStr">
        <is>
          <t>Fnd Y3</t>
        </is>
      </c>
      <c r="E26" s="7" t="inlineStr">
        <is>
          <t>Str Y1</t>
        </is>
      </c>
      <c r="F26" s="7" t="inlineStr">
        <is>
          <t>Str Y2</t>
        </is>
      </c>
      <c r="G26" s="7" t="inlineStr">
        <is>
          <t>Str Y3</t>
        </is>
      </c>
    </row>
    <row r="27">
      <c r="A27" s="4" t="inlineStr">
        <is>
          <t>Infrastructure &amp; hosting</t>
        </is>
      </c>
      <c r="B27" s="9" t="n">
        <v>3600</v>
      </c>
      <c r="C27" s="9" t="n">
        <v>6000</v>
      </c>
      <c r="D27" s="9" t="n">
        <v>10000</v>
      </c>
      <c r="E27" s="9" t="n">
        <v>4800</v>
      </c>
      <c r="F27" s="9" t="n">
        <v>9000</v>
      </c>
      <c r="G27" s="9" t="n">
        <v>15000</v>
      </c>
    </row>
    <row r="28">
      <c r="A28" s="4" t="inlineStr">
        <is>
          <t>Software &amp; tools</t>
        </is>
      </c>
      <c r="B28" s="9" t="n">
        <v>2400</v>
      </c>
      <c r="C28" s="9" t="n">
        <v>3000</v>
      </c>
      <c r="D28" s="9" t="n">
        <v>4000</v>
      </c>
      <c r="E28" s="9" t="n">
        <v>2400</v>
      </c>
      <c r="F28" s="9" t="n">
        <v>3600</v>
      </c>
      <c r="G28" s="9" t="n">
        <v>5000</v>
      </c>
    </row>
    <row r="29">
      <c r="A29" s="4" t="inlineStr">
        <is>
          <t>Contractors (design / eng / ops)</t>
        </is>
      </c>
      <c r="B29" s="9" t="n">
        <v>5000</v>
      </c>
      <c r="C29" s="9" t="n">
        <v>15000</v>
      </c>
      <c r="D29" s="9" t="n">
        <v>30000</v>
      </c>
      <c r="E29" s="9" t="n">
        <v>10000</v>
      </c>
      <c r="F29" s="9" t="n">
        <v>30000</v>
      </c>
      <c r="G29" s="9" t="n">
        <v>60000</v>
      </c>
    </row>
    <row r="30">
      <c r="A30" s="4" t="inlineStr">
        <is>
          <t>Marketing &amp; showcase production</t>
        </is>
      </c>
      <c r="B30" s="9" t="n">
        <v>3000</v>
      </c>
      <c r="C30" s="9" t="n">
        <v>5000</v>
      </c>
      <c r="D30" s="9" t="n">
        <v>8000</v>
      </c>
      <c r="E30" s="9" t="n">
        <v>5000</v>
      </c>
      <c r="F30" s="9" t="n">
        <v>8000</v>
      </c>
      <c r="G30" s="9" t="n">
        <v>12000</v>
      </c>
    </row>
    <row r="31">
      <c r="A31" s="4" t="inlineStr">
        <is>
          <t>Legal, accounting &amp; insurance</t>
        </is>
      </c>
      <c r="B31" s="9" t="n">
        <v>2000</v>
      </c>
      <c r="C31" s="9" t="n">
        <v>3000</v>
      </c>
      <c r="D31" s="9" t="n">
        <v>5000</v>
      </c>
      <c r="E31" s="9" t="n">
        <v>3000</v>
      </c>
      <c r="F31" s="9" t="n">
        <v>5000</v>
      </c>
      <c r="G31" s="9" t="n">
        <v>8000</v>
      </c>
    </row>
    <row r="33">
      <c r="A33" s="2" t="inlineStr">
        <is>
          <t>Cost inputs are Rick's planning estimates. No founder salary included — see P&amp;L memo.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The Garden — 3-Year P&amp;L (Foundation &amp; Stretch)</t>
        </is>
      </c>
    </row>
    <row r="2">
      <c r="A2" s="2" t="inlineStr">
        <is>
          <t>All cells on this sheet are formulas driven by the Assumptions tab. Edit inputs there (blue cells).</t>
        </is>
      </c>
    </row>
    <row r="4">
      <c r="A4" s="7" t="inlineStr"/>
      <c r="B4" s="7" t="inlineStr">
        <is>
          <t>Fnd Y1</t>
        </is>
      </c>
      <c r="C4" s="7" t="inlineStr">
        <is>
          <t>Fnd Y2</t>
        </is>
      </c>
      <c r="D4" s="7" t="inlineStr">
        <is>
          <t>Fnd Y3</t>
        </is>
      </c>
      <c r="E4" s="7" t="inlineStr">
        <is>
          <t>Str Y1</t>
        </is>
      </c>
      <c r="F4" s="7" t="inlineStr">
        <is>
          <t>Str Y2</t>
        </is>
      </c>
      <c r="G4" s="7" t="inlineStr">
        <is>
          <t>Str Y3</t>
        </is>
      </c>
    </row>
    <row r="5">
      <c r="A5" s="3" t="inlineStr">
        <is>
          <t>Revenue</t>
        </is>
      </c>
    </row>
    <row r="6">
      <c r="A6" s="4" t="inlineStr">
        <is>
          <t>Platform share of membership dues (10%)</t>
        </is>
      </c>
      <c r="B6" s="10">
        <f>Assumptions!$B$7*Assumptions!B18</f>
        <v/>
      </c>
      <c r="C6" s="10">
        <f>Assumptions!$B$7*Assumptions!C18</f>
        <v/>
      </c>
      <c r="D6" s="10">
        <f>Assumptions!$B$7*Assumptions!D18</f>
        <v/>
      </c>
      <c r="E6" s="10">
        <f>Assumptions!$B$7*Assumptions!E18</f>
        <v/>
      </c>
      <c r="F6" s="10">
        <f>Assumptions!$B$7*Assumptions!F18</f>
        <v/>
      </c>
      <c r="G6" s="10">
        <f>Assumptions!$B$7*Assumptions!G18</f>
        <v/>
      </c>
    </row>
    <row r="7">
      <c r="A7" s="4" t="inlineStr">
        <is>
          <t>Platform share of patronage flow (10%)</t>
        </is>
      </c>
      <c r="B7" s="10">
        <f>Assumptions!$B$8*Assumptions!B19</f>
        <v/>
      </c>
      <c r="C7" s="10">
        <f>Assumptions!$B$8*Assumptions!C19</f>
        <v/>
      </c>
      <c r="D7" s="10">
        <f>Assumptions!$B$8*Assumptions!D19</f>
        <v/>
      </c>
      <c r="E7" s="10">
        <f>Assumptions!$B$8*Assumptions!E19</f>
        <v/>
      </c>
      <c r="F7" s="10">
        <f>Assumptions!$B$8*Assumptions!F19</f>
        <v/>
      </c>
      <c r="G7" s="10">
        <f>Assumptions!$B$8*Assumptions!G19</f>
        <v/>
      </c>
    </row>
    <row r="8">
      <c r="A8" s="4" t="inlineStr">
        <is>
          <t>Less: payment processing (3% of gross flow)</t>
        </is>
      </c>
      <c r="B8" s="10">
        <f>-Assumptions!$B$9*(Assumptions!B18+Assumptions!B19)</f>
        <v/>
      </c>
      <c r="C8" s="10">
        <f>-Assumptions!$B$9*(Assumptions!C18+Assumptions!C19)</f>
        <v/>
      </c>
      <c r="D8" s="10">
        <f>-Assumptions!$B$9*(Assumptions!D18+Assumptions!D19)</f>
        <v/>
      </c>
      <c r="E8" s="10">
        <f>-Assumptions!$B$9*(Assumptions!E18+Assumptions!E19)</f>
        <v/>
      </c>
      <c r="F8" s="10">
        <f>-Assumptions!$B$9*(Assumptions!F18+Assumptions!F19)</f>
        <v/>
      </c>
      <c r="G8" s="10">
        <f>-Assumptions!$B$9*(Assumptions!G18+Assumptions!G19)</f>
        <v/>
      </c>
    </row>
    <row r="9">
      <c r="A9" s="11" t="inlineStr">
        <is>
          <t>Net platform flow revenue</t>
        </is>
      </c>
      <c r="B9" s="12">
        <f>SUM(B6:B8)</f>
        <v/>
      </c>
      <c r="C9" s="12">
        <f>SUM(C6:C8)</f>
        <v/>
      </c>
      <c r="D9" s="12">
        <f>SUM(D6:D8)</f>
        <v/>
      </c>
      <c r="E9" s="12">
        <f>SUM(E6:E8)</f>
        <v/>
      </c>
      <c r="F9" s="12">
        <f>SUM(F6:F8)</f>
        <v/>
      </c>
      <c r="G9" s="12">
        <f>SUM(G6:G8)</f>
        <v/>
      </c>
    </row>
    <row r="10">
      <c r="A10" s="4" t="inlineStr">
        <is>
          <t>Setup investments</t>
        </is>
      </c>
      <c r="B10" s="10">
        <f>Assumptions!$B$10*Assumptions!B17</f>
        <v/>
      </c>
      <c r="C10" s="10">
        <f>Assumptions!$B$10*Assumptions!C17</f>
        <v/>
      </c>
      <c r="D10" s="10">
        <f>Assumptions!$B$10*Assumptions!D17</f>
        <v/>
      </c>
      <c r="E10" s="10">
        <f>Assumptions!$B$10*Assumptions!E17</f>
        <v/>
      </c>
      <c r="F10" s="10">
        <f>Assumptions!$B$10*Assumptions!F17</f>
        <v/>
      </c>
      <c r="G10" s="10">
        <f>Assumptions!$B$10*Assumptions!G17</f>
        <v/>
      </c>
    </row>
    <row r="11">
      <c r="A11" s="4" t="inlineStr">
        <is>
          <t>Founding Patron partnerships</t>
        </is>
      </c>
      <c r="B11" s="10">
        <f>Assumptions!$B$11*Assumptions!B20</f>
        <v/>
      </c>
      <c r="C11" s="10">
        <f>Assumptions!$B$11*Assumptions!C20</f>
        <v/>
      </c>
      <c r="D11" s="10">
        <f>Assumptions!$B$11*Assumptions!D20</f>
        <v/>
      </c>
      <c r="E11" s="10">
        <f>Assumptions!$B$11*Assumptions!E20</f>
        <v/>
      </c>
      <c r="F11" s="10">
        <f>Assumptions!$B$11*Assumptions!F20</f>
        <v/>
      </c>
      <c r="G11" s="10">
        <f>Assumptions!$B$11*Assumptions!G20</f>
        <v/>
      </c>
    </row>
    <row r="12">
      <c r="A12" s="4" t="inlineStr">
        <is>
          <t>Showcase &amp; event sponsorships</t>
        </is>
      </c>
      <c r="B12" s="10">
        <f>Assumptions!B21</f>
        <v/>
      </c>
      <c r="C12" s="10">
        <f>Assumptions!C21</f>
        <v/>
      </c>
      <c r="D12" s="10">
        <f>Assumptions!D21</f>
        <v/>
      </c>
      <c r="E12" s="10">
        <f>Assumptions!E21</f>
        <v/>
      </c>
      <c r="F12" s="10">
        <f>Assumptions!F21</f>
        <v/>
      </c>
      <c r="G12" s="10">
        <f>Assumptions!G21</f>
        <v/>
      </c>
    </row>
    <row r="13">
      <c r="A13" s="11" t="inlineStr">
        <is>
          <t>Total revenue</t>
        </is>
      </c>
      <c r="B13" s="13">
        <f>B9+B10+B11+B12</f>
        <v/>
      </c>
      <c r="C13" s="13">
        <f>C9+C10+C11+C12</f>
        <v/>
      </c>
      <c r="D13" s="13">
        <f>D9+D10+D11+D12</f>
        <v/>
      </c>
      <c r="E13" s="13">
        <f>E9+E10+E11+E12</f>
        <v/>
      </c>
      <c r="F13" s="13">
        <f>F9+F10+F11+F12</f>
        <v/>
      </c>
      <c r="G13" s="13">
        <f>G9+G10+G11+G12</f>
        <v/>
      </c>
    </row>
    <row r="15">
      <c r="A15" s="3" t="inlineStr">
        <is>
          <t>Operating costs</t>
        </is>
      </c>
    </row>
    <row r="16">
      <c r="A16" s="4" t="inlineStr">
        <is>
          <t>Infrastructure &amp; hosting</t>
        </is>
      </c>
      <c r="B16" s="10">
        <f>Assumptions!B27</f>
        <v/>
      </c>
      <c r="C16" s="10">
        <f>Assumptions!C27</f>
        <v/>
      </c>
      <c r="D16" s="10">
        <f>Assumptions!D27</f>
        <v/>
      </c>
      <c r="E16" s="10">
        <f>Assumptions!E27</f>
        <v/>
      </c>
      <c r="F16" s="10">
        <f>Assumptions!F27</f>
        <v/>
      </c>
      <c r="G16" s="10">
        <f>Assumptions!G27</f>
        <v/>
      </c>
    </row>
    <row r="17">
      <c r="A17" s="4" t="inlineStr">
        <is>
          <t>Software &amp; tools</t>
        </is>
      </c>
      <c r="B17" s="10">
        <f>Assumptions!B28</f>
        <v/>
      </c>
      <c r="C17" s="10">
        <f>Assumptions!C28</f>
        <v/>
      </c>
      <c r="D17" s="10">
        <f>Assumptions!D28</f>
        <v/>
      </c>
      <c r="E17" s="10">
        <f>Assumptions!E28</f>
        <v/>
      </c>
      <c r="F17" s="10">
        <f>Assumptions!F28</f>
        <v/>
      </c>
      <c r="G17" s="10">
        <f>Assumptions!G28</f>
        <v/>
      </c>
    </row>
    <row r="18">
      <c r="A18" s="4" t="inlineStr">
        <is>
          <t>Contractors (design / eng / ops)</t>
        </is>
      </c>
      <c r="B18" s="10">
        <f>Assumptions!B29</f>
        <v/>
      </c>
      <c r="C18" s="10">
        <f>Assumptions!C29</f>
        <v/>
      </c>
      <c r="D18" s="10">
        <f>Assumptions!D29</f>
        <v/>
      </c>
      <c r="E18" s="10">
        <f>Assumptions!E29</f>
        <v/>
      </c>
      <c r="F18" s="10">
        <f>Assumptions!F29</f>
        <v/>
      </c>
      <c r="G18" s="10">
        <f>Assumptions!G29</f>
        <v/>
      </c>
    </row>
    <row r="19">
      <c r="A19" s="4" t="inlineStr">
        <is>
          <t>Marketing &amp; showcase production</t>
        </is>
      </c>
      <c r="B19" s="10">
        <f>Assumptions!B30</f>
        <v/>
      </c>
      <c r="C19" s="10">
        <f>Assumptions!C30</f>
        <v/>
      </c>
      <c r="D19" s="10">
        <f>Assumptions!D30</f>
        <v/>
      </c>
      <c r="E19" s="10">
        <f>Assumptions!E30</f>
        <v/>
      </c>
      <c r="F19" s="10">
        <f>Assumptions!F30</f>
        <v/>
      </c>
      <c r="G19" s="10">
        <f>Assumptions!G30</f>
        <v/>
      </c>
    </row>
    <row r="20">
      <c r="A20" s="4" t="inlineStr">
        <is>
          <t>Legal, accounting &amp; insurance</t>
        </is>
      </c>
      <c r="B20" s="10">
        <f>Assumptions!B31</f>
        <v/>
      </c>
      <c r="C20" s="10">
        <f>Assumptions!C31</f>
        <v/>
      </c>
      <c r="D20" s="10">
        <f>Assumptions!D31</f>
        <v/>
      </c>
      <c r="E20" s="10">
        <f>Assumptions!E31</f>
        <v/>
      </c>
      <c r="F20" s="10">
        <f>Assumptions!F31</f>
        <v/>
      </c>
      <c r="G20" s="10">
        <f>Assumptions!G31</f>
        <v/>
      </c>
    </row>
    <row r="21">
      <c r="A21" s="11" t="inlineStr">
        <is>
          <t>Total operating costs</t>
        </is>
      </c>
      <c r="B21" s="13">
        <f>SUM(B16:B20)</f>
        <v/>
      </c>
      <c r="C21" s="13">
        <f>SUM(C16:C20)</f>
        <v/>
      </c>
      <c r="D21" s="13">
        <f>SUM(D16:D20)</f>
        <v/>
      </c>
      <c r="E21" s="13">
        <f>SUM(E16:E20)</f>
        <v/>
      </c>
      <c r="F21" s="13">
        <f>SUM(F16:F20)</f>
        <v/>
      </c>
      <c r="G21" s="13">
        <f>SUM(G16:G20)</f>
        <v/>
      </c>
    </row>
    <row r="23">
      <c r="A23" s="11" t="inlineStr">
        <is>
          <t>Net income (before founder salary)</t>
        </is>
      </c>
      <c r="B23" s="13">
        <f>B13-B21</f>
        <v/>
      </c>
      <c r="C23" s="13">
        <f>C13-C21</f>
        <v/>
      </c>
      <c r="D23" s="13">
        <f>D13-D21</f>
        <v/>
      </c>
      <c r="E23" s="13">
        <f>E13-E21</f>
        <v/>
      </c>
      <c r="F23" s="13">
        <f>F13-F21</f>
        <v/>
      </c>
      <c r="G23" s="13">
        <f>G13-G21</f>
        <v/>
      </c>
    </row>
    <row r="25">
      <c r="A25" s="3" t="inlineStr">
        <is>
          <t>Memo — where the money goes</t>
        </is>
      </c>
    </row>
    <row r="26">
      <c r="A26" s="4" t="inlineStr">
        <is>
          <t>Gross $ through platform</t>
        </is>
      </c>
      <c r="B26" s="10">
        <f>Assumptions!B18+Assumptions!B19</f>
        <v/>
      </c>
      <c r="C26" s="10">
        <f>Assumptions!C18+Assumptions!C19</f>
        <v/>
      </c>
      <c r="D26" s="10">
        <f>Assumptions!D18+Assumptions!D19</f>
        <v/>
      </c>
      <c r="E26" s="10">
        <f>Assumptions!E18+Assumptions!E19</f>
        <v/>
      </c>
      <c r="F26" s="10">
        <f>Assumptions!F18+Assumptions!F19</f>
        <v/>
      </c>
      <c r="G26" s="10">
        <f>Assumptions!G18+Assumptions!G19</f>
        <v/>
      </c>
    </row>
    <row r="27">
      <c r="A27" s="4" t="inlineStr">
        <is>
          <t>Creative project pool generated (50% of dues)</t>
        </is>
      </c>
      <c r="B27" s="10">
        <f>Assumptions!$B$6*Assumptions!B18</f>
        <v/>
      </c>
      <c r="C27" s="10">
        <f>Assumptions!$B$6*Assumptions!C18</f>
        <v/>
      </c>
      <c r="D27" s="10">
        <f>Assumptions!$B$6*Assumptions!D18</f>
        <v/>
      </c>
      <c r="E27" s="10">
        <f>Assumptions!$B$6*Assumptions!E18</f>
        <v/>
      </c>
      <c r="F27" s="10">
        <f>Assumptions!$B$6*Assumptions!F18</f>
        <v/>
      </c>
      <c r="G27" s="10">
        <f>Assumptions!$B$6*Assumptions!G18</f>
        <v/>
      </c>
    </row>
    <row r="28">
      <c r="A28" s="4" t="inlineStr">
        <is>
          <t>Space operations share (40% of dues)</t>
        </is>
      </c>
      <c r="B28" s="10">
        <f>Assumptions!$B$5*Assumptions!B18</f>
        <v/>
      </c>
      <c r="C28" s="10">
        <f>Assumptions!$B$5*Assumptions!C18</f>
        <v/>
      </c>
      <c r="D28" s="10">
        <f>Assumptions!$B$5*Assumptions!D18</f>
        <v/>
      </c>
      <c r="E28" s="10">
        <f>Assumptions!$B$5*Assumptions!E18</f>
        <v/>
      </c>
      <c r="F28" s="10">
        <f>Assumptions!$B$5*Assumptions!F18</f>
        <v/>
      </c>
      <c r="G28" s="10">
        <f>Assumptions!$B$5*Assumptions!G18</f>
        <v/>
      </c>
    </row>
    <row r="29">
      <c r="A29" s="4" t="inlineStr">
        <is>
          <t>Reaching creatives from patronage (90%)</t>
        </is>
      </c>
      <c r="B29" s="10">
        <f>(1-Assumptions!$B$8)*Assumptions!B19</f>
        <v/>
      </c>
      <c r="C29" s="10">
        <f>(1-Assumptions!$B$8)*Assumptions!C19</f>
        <v/>
      </c>
      <c r="D29" s="10">
        <f>(1-Assumptions!$B$8)*Assumptions!D19</f>
        <v/>
      </c>
      <c r="E29" s="10">
        <f>(1-Assumptions!$B$8)*Assumptions!E19</f>
        <v/>
      </c>
      <c r="F29" s="10">
        <f>(1-Assumptions!$B$8)*Assumptions!F19</f>
        <v/>
      </c>
      <c r="G29" s="10">
        <f>(1-Assumptions!$B$8)*Assumptions!G19</f>
        <v/>
      </c>
    </row>
    <row r="31">
      <c r="A31" s="2" t="inlineStr">
        <is>
          <t>Note: no founder salary is modeled. Net income is what's available for founder draw + reinvestment. Reconciles to the-exchange-vision.md v0.10 Part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2026-08-07T01:17:03Z</dcterms:created>
  <dcterms:modified xsi:type="dcterms:W3CDTF">2026-08-07T01:17:03Z</dcterms:modified>
</cp:coreProperties>
</file>